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Табель" sheetId="1" r:id="rId1"/>
    <sheet name="Расчетная ведомость за первый п" sheetId="2" r:id="rId2"/>
    <sheet name="Ведомость к перечисления" sheetId="5" r:id="rId3"/>
    <sheet name="Ведомость к выдаче" sheetId="6" r:id="rId4"/>
    <sheet name="Расчетная ведость за месяц" sheetId="4" r:id="rId5"/>
  </sheets>
  <calcPr calcId="125725"/>
</workbook>
</file>

<file path=xl/calcChain.xml><?xml version="1.0" encoding="utf-8"?>
<calcChain xmlns="http://schemas.openxmlformats.org/spreadsheetml/2006/main">
  <c r="L10" i="6"/>
  <c r="N10" s="1"/>
  <c r="Y10" s="1"/>
  <c r="AE10" s="1"/>
  <c r="L9"/>
  <c r="N9" s="1"/>
  <c r="Y9" s="1"/>
  <c r="AE9" s="1"/>
  <c r="L8"/>
  <c r="N8" s="1"/>
  <c r="Y8" s="1"/>
  <c r="AE8" s="1"/>
  <c r="N7"/>
  <c r="Y7" s="1"/>
  <c r="AE7" s="1"/>
  <c r="L7"/>
  <c r="L6"/>
  <c r="N6" s="1"/>
  <c r="Y6" s="1"/>
  <c r="AE6" s="1"/>
  <c r="L5"/>
  <c r="N5" s="1"/>
  <c r="Y5" s="1"/>
  <c r="AE5" s="1"/>
  <c r="L4"/>
  <c r="N4" s="1"/>
  <c r="Y4" s="1"/>
  <c r="AE4" s="1"/>
  <c r="L4" i="5"/>
  <c r="N4" s="1"/>
  <c r="L5"/>
  <c r="N5" s="1"/>
  <c r="L6"/>
  <c r="N6"/>
  <c r="L7"/>
  <c r="N7"/>
  <c r="L8"/>
  <c r="N8"/>
  <c r="L9"/>
  <c r="N9"/>
  <c r="L10"/>
  <c r="N10"/>
  <c r="L5" i="2"/>
  <c r="N5" s="1"/>
  <c r="Y5" s="1"/>
  <c r="N7" i="4" l="1"/>
  <c r="T10"/>
  <c r="AD5"/>
  <c r="N10"/>
  <c r="Q9"/>
  <c r="N8"/>
  <c r="N9"/>
  <c r="AJ11" i="1"/>
  <c r="AJ14"/>
  <c r="AJ15"/>
  <c r="AJ10"/>
  <c r="AC10" i="4" l="1"/>
  <c r="L10"/>
  <c r="AC9"/>
  <c r="L9"/>
  <c r="AC8"/>
  <c r="L8"/>
  <c r="AC7"/>
  <c r="N6"/>
  <c r="AC6" s="1"/>
  <c r="N5"/>
  <c r="AC5" s="1"/>
  <c r="AJ5" s="1"/>
  <c r="N4"/>
  <c r="AC4" s="1"/>
  <c r="L4"/>
  <c r="N7" i="2"/>
  <c r="L10" l="1"/>
  <c r="L9"/>
  <c r="R15" i="1"/>
  <c r="R13"/>
  <c r="R11"/>
  <c r="R12"/>
  <c r="R10"/>
  <c r="T15"/>
  <c r="U15"/>
  <c r="V15"/>
  <c r="AI15"/>
  <c r="Y15"/>
  <c r="Z15"/>
  <c r="AA15"/>
  <c r="AB15"/>
  <c r="AC15"/>
  <c r="AF15"/>
  <c r="AG15"/>
  <c r="S15"/>
  <c r="AI14"/>
  <c r="R9"/>
  <c r="AI13"/>
  <c r="AJ13" s="1"/>
  <c r="AI12"/>
  <c r="AJ12" s="1"/>
  <c r="AI11"/>
  <c r="AI10"/>
  <c r="T13"/>
  <c r="U13"/>
  <c r="AB13"/>
  <c r="AC13"/>
  <c r="AF13"/>
  <c r="AG13"/>
  <c r="D15"/>
  <c r="E15"/>
  <c r="F15"/>
  <c r="G15"/>
  <c r="J15"/>
  <c r="K15"/>
  <c r="L15"/>
  <c r="M15"/>
  <c r="N15"/>
  <c r="Q15"/>
  <c r="C15"/>
  <c r="R14"/>
  <c r="L8" i="2"/>
  <c r="L6"/>
  <c r="L7"/>
  <c r="Y7" s="1"/>
  <c r="L4"/>
  <c r="N4" s="1"/>
  <c r="B15" i="1"/>
  <c r="M9"/>
  <c r="N9"/>
  <c r="O9"/>
  <c r="P9"/>
  <c r="Q9"/>
  <c r="R6"/>
  <c r="R5"/>
  <c r="AI5"/>
  <c r="AJ5"/>
  <c r="AI6"/>
  <c r="AD7" i="4" l="1"/>
  <c r="AJ7" s="1"/>
  <c r="N9" i="2"/>
  <c r="Y9" s="1"/>
  <c r="N6"/>
  <c r="Y6" s="1"/>
  <c r="N10"/>
  <c r="Y10" s="1"/>
  <c r="N8"/>
  <c r="Y8" s="1"/>
  <c r="Y4"/>
  <c r="AD4" i="4" s="1"/>
  <c r="AJ4" s="1"/>
  <c r="B23" i="1"/>
  <c r="D23" s="1"/>
  <c r="AD8" i="4" l="1"/>
  <c r="AJ8" s="1"/>
  <c r="AD9"/>
  <c r="AJ9" s="1"/>
  <c r="AD10"/>
  <c r="AJ10" s="1"/>
  <c r="AD6"/>
  <c r="AJ6" s="1"/>
  <c r="D11" i="1"/>
  <c r="E11"/>
  <c r="F11"/>
  <c r="G11"/>
  <c r="L13"/>
  <c r="C11"/>
  <c r="E9"/>
  <c r="F9"/>
  <c r="G9"/>
  <c r="H9"/>
  <c r="I9"/>
  <c r="J9"/>
  <c r="K9"/>
  <c r="L9"/>
  <c r="D9"/>
  <c r="C9"/>
  <c r="A9"/>
  <c r="K13"/>
  <c r="B13"/>
  <c r="B12"/>
  <c r="B10"/>
  <c r="C32" l="1"/>
  <c r="C25"/>
  <c r="B30"/>
  <c r="D30" s="1"/>
  <c r="B31"/>
  <c r="D31" s="1"/>
  <c r="B32"/>
  <c r="D32" s="1"/>
  <c r="B25"/>
  <c r="D25" s="1"/>
  <c r="B24"/>
  <c r="D24" s="1"/>
  <c r="AJ6" l="1"/>
</calcChain>
</file>

<file path=xl/comments1.xml><?xml version="1.0" encoding="utf-8"?>
<comments xmlns="http://schemas.openxmlformats.org/spreadsheetml/2006/main">
  <authors>
    <author>Автор</author>
  </authors>
  <commentList>
    <comment ref="Q2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Бригадирские, надбавки)</t>
        </r>
      </text>
    </comment>
    <comment ref="R2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подтягивается сумма</t>
        </r>
      </text>
    </comment>
    <comment ref="W2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подтягивается из ТУРВА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Q2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Бригадирские, надбавки)</t>
        </r>
      </text>
    </comment>
    <comment ref="R2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подтягивается сумма</t>
        </r>
      </text>
    </comment>
    <comment ref="W2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подтягивается из ТУРВА</t>
        </r>
      </text>
    </comment>
  </commentList>
</comments>
</file>

<file path=xl/comments3.xml><?xml version="1.0" encoding="utf-8"?>
<comments xmlns="http://schemas.openxmlformats.org/spreadsheetml/2006/main">
  <authors>
    <author>Автор</author>
  </authors>
  <commentList>
    <comment ref="Q2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Бригадирские, надбавки)</t>
        </r>
      </text>
    </comment>
    <comment ref="R2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подтягивается сумма</t>
        </r>
      </text>
    </comment>
    <comment ref="W2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подтягивается из ТУРВА</t>
        </r>
      </text>
    </comment>
  </commentList>
</comments>
</file>

<file path=xl/sharedStrings.xml><?xml version="1.0" encoding="utf-8"?>
<sst xmlns="http://schemas.openxmlformats.org/spreadsheetml/2006/main" count="359" uniqueCount="94">
  <si>
    <t>Плановый цикл производства (шаблон)</t>
  </si>
  <si>
    <t>Дата</t>
  </si>
  <si>
    <t>График 5/2</t>
  </si>
  <si>
    <t>Смена 1</t>
  </si>
  <si>
    <t>В</t>
  </si>
  <si>
    <t>Иванов А.А.</t>
  </si>
  <si>
    <t>Х</t>
  </si>
  <si>
    <t>Переработка</t>
  </si>
  <si>
    <t>Фактически отработанное время (ТУРВ)</t>
  </si>
  <si>
    <t>ИТОГО</t>
  </si>
  <si>
    <t>1. Олачиваем часы не более нормы</t>
  </si>
  <si>
    <t>2. Оплачиваем все часы с коэфициэнтом 1</t>
  </si>
  <si>
    <t>1-й вариант</t>
  </si>
  <si>
    <t>2-й вариант</t>
  </si>
  <si>
    <t>3-й вариант</t>
  </si>
  <si>
    <t>3.Оплачиваем часы не более нормы + часы переработки с коф 1.5, но при этом нужно выделить отдельно часы за минусом переработки с коэфициентом 1 + часы переработки с коэфициентом 1.5</t>
  </si>
  <si>
    <t xml:space="preserve">Для примера расчета оклада - </t>
  </si>
  <si>
    <t>Оклад</t>
  </si>
  <si>
    <t>Итого</t>
  </si>
  <si>
    <t>Пример расчета Иванова А.А. с графикм 5/2</t>
  </si>
  <si>
    <t>Пример расчета Иванова А.А. с графиком 2/2</t>
  </si>
  <si>
    <t>Далее для выдачи з/п сотрудника складываются два начисления  по каждому графику</t>
  </si>
  <si>
    <t>ФИО</t>
  </si>
  <si>
    <t>№</t>
  </si>
  <si>
    <t>Должность</t>
  </si>
  <si>
    <t xml:space="preserve">  ТУРВ</t>
  </si>
  <si>
    <t xml:space="preserve">  График</t>
  </si>
  <si>
    <t xml:space="preserve">  Корректировка</t>
  </si>
  <si>
    <t xml:space="preserve">  Депремирование</t>
  </si>
  <si>
    <t xml:space="preserve">  НДФЛ</t>
  </si>
  <si>
    <t xml:space="preserve">  Карта</t>
  </si>
  <si>
    <t>5/2 (88)</t>
  </si>
  <si>
    <t xml:space="preserve">  ОТ/БЛ</t>
  </si>
  <si>
    <t>Табельный номер</t>
  </si>
  <si>
    <t>Организация</t>
  </si>
  <si>
    <t>Меркурий</t>
  </si>
  <si>
    <t>Норма отработанных часов за месяц</t>
  </si>
  <si>
    <t>Сделка конструктора</t>
  </si>
  <si>
    <t>Сделка Продажи</t>
  </si>
  <si>
    <t>Плановое начисление</t>
  </si>
  <si>
    <t>ОРС</t>
  </si>
  <si>
    <t>Сборщик</t>
  </si>
  <si>
    <t>Боровиков А.М.</t>
  </si>
  <si>
    <t>Тех.директор</t>
  </si>
  <si>
    <t>Герасимчук А.А.</t>
  </si>
  <si>
    <t>РОП</t>
  </si>
  <si>
    <t>2/2 (88)</t>
  </si>
  <si>
    <t>Премия дополнительная</t>
  </si>
  <si>
    <t>Премия ТУРВ</t>
  </si>
  <si>
    <t>Итого начислено</t>
  </si>
  <si>
    <t>Постоянная часть</t>
  </si>
  <si>
    <t>Стимулирующая</t>
  </si>
  <si>
    <t>Итого рассчитано</t>
  </si>
  <si>
    <t xml:space="preserve">  Удержано/
Исп. лист</t>
  </si>
  <si>
    <t>Выплачено ФСС</t>
  </si>
  <si>
    <t>Промежуточная выплата</t>
  </si>
  <si>
    <t>Итого к
получению</t>
  </si>
  <si>
    <t>Рамазанов С.В.</t>
  </si>
  <si>
    <t>Контролер КПП</t>
  </si>
  <si>
    <t>Отработано за период</t>
  </si>
  <si>
    <t>Из них переработка</t>
  </si>
  <si>
    <t>Норма первый период</t>
  </si>
  <si>
    <t>НОРМАвторой период</t>
  </si>
  <si>
    <t>в</t>
  </si>
  <si>
    <t>Сделка Станки</t>
  </si>
  <si>
    <t>Сделка установщики</t>
  </si>
  <si>
    <t>Сделка монтаж</t>
  </si>
  <si>
    <t xml:space="preserve">Расчетная ведомость за период 1-15 декабря </t>
  </si>
  <si>
    <t>ДО</t>
  </si>
  <si>
    <t>Скороходов П.А.</t>
  </si>
  <si>
    <t>Распиловщик</t>
  </si>
  <si>
    <t>Артамонов А.А.</t>
  </si>
  <si>
    <t>Грузчик</t>
  </si>
  <si>
    <t>Стулихина О.С.</t>
  </si>
  <si>
    <t>Бухгалтер</t>
  </si>
  <si>
    <t>Персональная надбавка</t>
  </si>
  <si>
    <t>Ночные часы</t>
  </si>
  <si>
    <t>Надбавка за молоко</t>
  </si>
  <si>
    <t>1/3 (96)</t>
  </si>
  <si>
    <t>Начисленаванс</t>
  </si>
  <si>
    <t>Промсервис</t>
  </si>
  <si>
    <t>Загрузка сделки(Конструктора, мастера, продажи, станки, монтаж, установщики)</t>
  </si>
  <si>
    <t xml:space="preserve">Ведомость  к перечислению за период 1-15 декабря </t>
  </si>
  <si>
    <t xml:space="preserve">Расчетная ведомость за период 1-31 декабря </t>
  </si>
  <si>
    <t>Bnjuj yfxbcktyj</t>
  </si>
  <si>
    <t>Э  Elth;fyj/</t>
  </si>
  <si>
    <t>Bcg/ kbcn@</t>
  </si>
  <si>
    <t xml:space="preserve">  YLAK</t>
  </si>
  <si>
    <t>Dsgkfxtyj ACC</t>
  </si>
  <si>
    <t>Ghjvt;enjxyfz dsgkfnf</t>
  </si>
  <si>
    <t>gjkextyb.@</t>
  </si>
  <si>
    <t>объединяем по фио</t>
  </si>
  <si>
    <t>по уволенным отдельные ведомости, по остальным общая, группируется по фио/организация/табельны, столбец должность не нужен</t>
  </si>
  <si>
    <t>"Итого к</t>
  </si>
</sst>
</file>

<file path=xl/styles.xml><?xml version="1.0" encoding="utf-8"?>
<styleSheet xmlns="http://schemas.openxmlformats.org/spreadsheetml/2006/main">
  <numFmts count="1">
    <numFmt numFmtId="164" formatCode="[$-419]d\ mmm;@"/>
  </numFmts>
  <fonts count="25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charset val="204"/>
      <scheme val="minor"/>
    </font>
    <font>
      <b/>
      <u/>
      <sz val="14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color theme="1"/>
      <name val="Calibri"/>
      <family val="2"/>
      <scheme val="minor"/>
    </font>
    <font>
      <b/>
      <u/>
      <sz val="9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497">
    <xf numFmtId="164" fontId="0" fillId="0" borderId="0"/>
    <xf numFmtId="164" fontId="3" fillId="0" borderId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5" borderId="0" applyNumberFormat="0" applyBorder="0" applyAlignment="0" applyProtection="0"/>
    <xf numFmtId="164" fontId="4" fillId="4" borderId="0" applyNumberFormat="0" applyBorder="0" applyAlignment="0" applyProtection="0"/>
    <xf numFmtId="164" fontId="4" fillId="5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7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9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8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10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4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11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3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4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2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15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4" fillId="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4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2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9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16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5" fillId="20" borderId="0" applyNumberFormat="0" applyBorder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6" fillId="6" borderId="11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7" fillId="4" borderId="12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8" fillId="4" borderId="11" applyNumberFormat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9" fillId="0" borderId="13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0" fillId="0" borderId="14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15" applyNumberFormat="0" applyFill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1" fillId="0" borderId="0" applyNumberFormat="0" applyFill="0" applyBorder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2" fillId="0" borderId="16" applyNumberFormat="0" applyFill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3" fillId="21" borderId="17" applyNumberFormat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5" fillId="14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6" fillId="7" borderId="0" applyNumberFormat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3" fillId="8" borderId="18" applyNumberFormat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8" fillId="0" borderId="19" applyNumberFormat="0" applyFill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  <xf numFmtId="164" fontId="20" fillId="9" borderId="0" applyNumberFormat="0" applyBorder="0" applyAlignment="0" applyProtection="0"/>
  </cellStyleXfs>
  <cellXfs count="63">
    <xf numFmtId="164" fontId="0" fillId="0" borderId="0" xfId="0"/>
    <xf numFmtId="164" fontId="0" fillId="0" borderId="0" xfId="0" applyAlignment="1">
      <alignment horizontal="center" vertical="center"/>
    </xf>
    <xf numFmtId="164" fontId="0" fillId="0" borderId="1" xfId="0" applyBorder="1" applyAlignment="1">
      <alignment horizontal="center" vertical="center"/>
    </xf>
    <xf numFmtId="164" fontId="0" fillId="0" borderId="2" xfId="0" applyBorder="1" applyAlignment="1">
      <alignment horizontal="center" vertical="center"/>
    </xf>
    <xf numFmtId="164" fontId="0" fillId="0" borderId="3" xfId="0" applyBorder="1" applyAlignment="1">
      <alignment horizontal="center" vertical="center"/>
    </xf>
    <xf numFmtId="164" fontId="0" fillId="0" borderId="4" xfId="0" applyBorder="1" applyAlignment="1">
      <alignment horizontal="center" vertical="center"/>
    </xf>
    <xf numFmtId="164" fontId="0" fillId="2" borderId="1" xfId="0" applyFill="1" applyBorder="1" applyAlignment="1">
      <alignment horizontal="center" vertical="center"/>
    </xf>
    <xf numFmtId="4" fontId="0" fillId="0" borderId="0" xfId="0" applyNumberFormat="1"/>
    <xf numFmtId="3" fontId="0" fillId="0" borderId="0" xfId="0" applyNumberFormat="1" applyAlignment="1">
      <alignment horizontal="center"/>
    </xf>
    <xf numFmtId="164" fontId="0" fillId="0" borderId="1" xfId="0" applyBorder="1" applyAlignment="1">
      <alignment horizontal="center" vertical="center" wrapText="1"/>
    </xf>
    <xf numFmtId="164" fontId="0" fillId="0" borderId="2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21" xfId="0" applyBorder="1" applyAlignment="1">
      <alignment horizontal="center" vertical="center"/>
    </xf>
    <xf numFmtId="164" fontId="0" fillId="0" borderId="22" xfId="0" applyBorder="1" applyAlignment="1">
      <alignment horizontal="center" vertical="center"/>
    </xf>
    <xf numFmtId="164" fontId="21" fillId="3" borderId="1" xfId="0" applyNumberFormat="1" applyFont="1" applyFill="1" applyBorder="1" applyAlignment="1">
      <alignment horizontal="center" vertical="center"/>
    </xf>
    <xf numFmtId="164" fontId="0" fillId="0" borderId="1" xfId="0" applyBorder="1" applyAlignment="1">
      <alignment horizontal="center" vertical="center" wrapText="1"/>
    </xf>
    <xf numFmtId="164" fontId="22" fillId="0" borderId="23" xfId="0" applyFont="1" applyBorder="1" applyAlignment="1">
      <alignment horizontal="center" vertical="center" wrapText="1"/>
    </xf>
    <xf numFmtId="164" fontId="0" fillId="0" borderId="10" xfId="0" applyBorder="1" applyAlignment="1">
      <alignment vertical="center" wrapText="1"/>
    </xf>
    <xf numFmtId="164" fontId="0" fillId="0" borderId="1" xfId="0" applyBorder="1" applyAlignment="1">
      <alignment horizontal="center" vertical="center" wrapText="1"/>
    </xf>
    <xf numFmtId="164" fontId="0" fillId="0" borderId="1" xfId="0" applyBorder="1" applyAlignment="1">
      <alignment horizontal="center" vertical="center"/>
    </xf>
    <xf numFmtId="164" fontId="22" fillId="0" borderId="1" xfId="0" applyFont="1" applyBorder="1" applyAlignment="1">
      <alignment horizontal="center" vertical="center" wrapText="1"/>
    </xf>
    <xf numFmtId="164" fontId="0" fillId="0" borderId="1" xfId="0" applyBorder="1" applyAlignment="1">
      <alignment horizontal="center" vertical="center" textRotation="90" wrapText="1"/>
    </xf>
    <xf numFmtId="164" fontId="0" fillId="0" borderId="25" xfId="0" applyBorder="1" applyAlignment="1">
      <alignment horizontal="center" vertical="center" textRotation="90" wrapText="1"/>
    </xf>
    <xf numFmtId="164" fontId="0" fillId="0" borderId="24" xfId="0" applyBorder="1" applyAlignment="1">
      <alignment horizontal="center" vertical="center" textRotation="90" wrapText="1"/>
    </xf>
    <xf numFmtId="164" fontId="0" fillId="0" borderId="1" xfId="0" applyBorder="1" applyAlignment="1">
      <alignment horizontal="center" vertical="center" textRotation="90"/>
    </xf>
    <xf numFmtId="164" fontId="0" fillId="0" borderId="1" xfId="0" applyBorder="1" applyAlignment="1">
      <alignment horizontal="center" vertical="center" textRotation="90" wrapText="1"/>
    </xf>
    <xf numFmtId="164" fontId="0" fillId="0" borderId="1" xfId="0" applyBorder="1" applyAlignment="1">
      <alignment horizontal="center" vertical="center" textRotation="90"/>
    </xf>
    <xf numFmtId="164" fontId="0" fillId="0" borderId="0" xfId="0" applyAlignment="1">
      <alignment horizontal="left"/>
    </xf>
    <xf numFmtId="164" fontId="0" fillId="0" borderId="10" xfId="0" applyBorder="1" applyAlignment="1">
      <alignment horizontal="center" vertical="center" wrapText="1"/>
    </xf>
    <xf numFmtId="164" fontId="0" fillId="0" borderId="5" xfId="0" applyBorder="1" applyAlignment="1">
      <alignment horizontal="center" vertical="center" wrapText="1"/>
    </xf>
    <xf numFmtId="164" fontId="0" fillId="0" borderId="1" xfId="0" applyBorder="1" applyAlignment="1">
      <alignment horizontal="center" vertical="center"/>
    </xf>
    <xf numFmtId="164" fontId="2" fillId="0" borderId="1" xfId="0" applyFont="1" applyBorder="1" applyAlignment="1">
      <alignment horizontal="center" vertical="center"/>
    </xf>
    <xf numFmtId="164" fontId="1" fillId="0" borderId="27" xfId="0" applyFont="1" applyBorder="1" applyAlignment="1">
      <alignment horizontal="center" vertical="center"/>
    </xf>
    <xf numFmtId="164" fontId="1" fillId="0" borderId="20" xfId="0" applyFont="1" applyBorder="1" applyAlignment="1">
      <alignment horizontal="center" vertical="center"/>
    </xf>
    <xf numFmtId="164" fontId="1" fillId="0" borderId="28" xfId="0" applyFont="1" applyBorder="1" applyAlignment="1">
      <alignment horizontal="center" vertical="center"/>
    </xf>
    <xf numFmtId="164" fontId="0" fillId="0" borderId="6" xfId="0" applyBorder="1" applyAlignment="1">
      <alignment horizontal="center" vertical="center"/>
    </xf>
    <xf numFmtId="164" fontId="0" fillId="0" borderId="7" xfId="0" applyBorder="1" applyAlignment="1">
      <alignment horizontal="center" vertical="center"/>
    </xf>
    <xf numFmtId="164" fontId="0" fillId="0" borderId="8" xfId="0" applyBorder="1" applyAlignment="1">
      <alignment horizontal="center" vertical="center"/>
    </xf>
    <xf numFmtId="164" fontId="0" fillId="0" borderId="9" xfId="0" applyBorder="1" applyAlignment="1">
      <alignment horizontal="center" vertical="center"/>
    </xf>
    <xf numFmtId="164" fontId="0" fillId="3" borderId="6" xfId="0" applyFill="1" applyBorder="1" applyAlignment="1">
      <alignment horizontal="center" vertical="center"/>
    </xf>
    <xf numFmtId="164" fontId="0" fillId="3" borderId="7" xfId="0" applyFill="1" applyBorder="1" applyAlignment="1">
      <alignment horizontal="center" vertical="center"/>
    </xf>
    <xf numFmtId="164" fontId="0" fillId="3" borderId="1" xfId="0" applyFill="1" applyBorder="1" applyAlignment="1">
      <alignment horizontal="center" vertical="center"/>
    </xf>
    <xf numFmtId="164" fontId="0" fillId="0" borderId="21" xfId="0" applyBorder="1" applyAlignment="1">
      <alignment horizontal="center" vertical="center" wrapText="1"/>
    </xf>
    <xf numFmtId="164" fontId="0" fillId="0" borderId="26" xfId="0" applyBorder="1" applyAlignment="1">
      <alignment horizontal="center" vertical="center" wrapText="1"/>
    </xf>
    <xf numFmtId="164" fontId="0" fillId="0" borderId="1" xfId="0" applyBorder="1" applyAlignment="1">
      <alignment horizontal="center" vertical="center" textRotation="90" wrapText="1"/>
    </xf>
    <xf numFmtId="164" fontId="0" fillId="0" borderId="25" xfId="0" applyBorder="1" applyAlignment="1">
      <alignment horizontal="center" vertical="center"/>
    </xf>
    <xf numFmtId="164" fontId="0" fillId="0" borderId="24" xfId="0" applyBorder="1" applyAlignment="1">
      <alignment horizontal="center" vertical="center"/>
    </xf>
    <xf numFmtId="164" fontId="0" fillId="0" borderId="7" xfId="0" applyBorder="1" applyAlignment="1">
      <alignment horizontal="center" vertical="center" wrapText="1"/>
    </xf>
    <xf numFmtId="164" fontId="0" fillId="0" borderId="25" xfId="0" applyBorder="1" applyAlignment="1">
      <alignment horizontal="center" vertical="center" textRotation="90" wrapText="1"/>
    </xf>
    <xf numFmtId="164" fontId="0" fillId="0" borderId="24" xfId="0" applyBorder="1" applyAlignment="1">
      <alignment horizontal="center" vertical="center" textRotation="90" wrapText="1"/>
    </xf>
    <xf numFmtId="164" fontId="0" fillId="0" borderId="1" xfId="0" applyBorder="1" applyAlignment="1">
      <alignment horizontal="center" vertical="center" wrapText="1"/>
    </xf>
    <xf numFmtId="164" fontId="0" fillId="0" borderId="27" xfId="0" applyBorder="1" applyAlignment="1"/>
    <xf numFmtId="164" fontId="0" fillId="0" borderId="20" xfId="0" applyBorder="1" applyAlignment="1"/>
    <xf numFmtId="164" fontId="0" fillId="0" borderId="28" xfId="0" applyBorder="1" applyAlignment="1"/>
    <xf numFmtId="164" fontId="0" fillId="0" borderId="29" xfId="0" applyBorder="1" applyAlignment="1"/>
    <xf numFmtId="164" fontId="0" fillId="0" borderId="0" xfId="0" applyAlignment="1"/>
    <xf numFmtId="164" fontId="0" fillId="0" borderId="30" xfId="0" applyBorder="1" applyAlignment="1"/>
    <xf numFmtId="164" fontId="0" fillId="0" borderId="31" xfId="0" applyBorder="1" applyAlignment="1"/>
    <xf numFmtId="164" fontId="0" fillId="0" borderId="32" xfId="0" applyBorder="1" applyAlignment="1"/>
    <xf numFmtId="164" fontId="0" fillId="0" borderId="33" xfId="0" applyBorder="1" applyAlignment="1"/>
    <xf numFmtId="164" fontId="0" fillId="0" borderId="1" xfId="0" applyBorder="1" applyAlignment="1">
      <alignment horizontal="center" vertical="center" textRotation="90"/>
    </xf>
    <xf numFmtId="164" fontId="0" fillId="22" borderId="0" xfId="0" applyFill="1" applyAlignment="1"/>
  </cellXfs>
  <cellStyles count="1497">
    <cellStyle name="20% - Акцент1 1" xfId="2"/>
    <cellStyle name="20% - Акцент1 1 1" xfId="3"/>
    <cellStyle name="20% - Акцент1 1 1 1" xfId="4"/>
    <cellStyle name="20% - Акцент1 1 1 1 1" xfId="5"/>
    <cellStyle name="20% - Акцент1 1 1 2" xfId="6"/>
    <cellStyle name="20% - Акцент1 1 2" xfId="7"/>
    <cellStyle name="20% - Акцент1 1 2 1" xfId="8"/>
    <cellStyle name="20% - Акцент1 1 3" xfId="9"/>
    <cellStyle name="20% - Акцент1 1 3 1" xfId="10"/>
    <cellStyle name="20% - Акцент1 1 4" xfId="11"/>
    <cellStyle name="20% - Акцент1 1 5" xfId="12"/>
    <cellStyle name="20% - Акцент1 10" xfId="13"/>
    <cellStyle name="20% - Акцент1 11" xfId="14"/>
    <cellStyle name="20% - Акцент1 12" xfId="15"/>
    <cellStyle name="20% - Акцент1 2" xfId="16"/>
    <cellStyle name="20% - Акцент1 2 1" xfId="17"/>
    <cellStyle name="20% - Акцент1 2 1 1" xfId="18"/>
    <cellStyle name="20% - Акцент1 2 2" xfId="19"/>
    <cellStyle name="20% - Акцент1 2 2 1" xfId="20"/>
    <cellStyle name="20% - Акцент1 2 3" xfId="21"/>
    <cellStyle name="20% - Акцент1 2 3 1" xfId="22"/>
    <cellStyle name="20% - Акцент1 2 4" xfId="23"/>
    <cellStyle name="20% - Акцент1 3" xfId="24"/>
    <cellStyle name="20% - Акцент1 3 1" xfId="25"/>
    <cellStyle name="20% - Акцент1 3 1 1" xfId="26"/>
    <cellStyle name="20% - Акцент1 3 2" xfId="27"/>
    <cellStyle name="20% - Акцент1 3 2 1" xfId="28"/>
    <cellStyle name="20% - Акцент1 3 3" xfId="29"/>
    <cellStyle name="20% - Акцент1 3 3 1" xfId="30"/>
    <cellStyle name="20% - Акцент1 3 4" xfId="31"/>
    <cellStyle name="20% - Акцент1 4" xfId="32"/>
    <cellStyle name="20% - Акцент1 4 1" xfId="33"/>
    <cellStyle name="20% - Акцент1 4 1 1" xfId="34"/>
    <cellStyle name="20% - Акцент1 4 2" xfId="35"/>
    <cellStyle name="20% - Акцент1 4 2 1" xfId="36"/>
    <cellStyle name="20% - Акцент1 4 3" xfId="37"/>
    <cellStyle name="20% - Акцент1 4 3 1" xfId="38"/>
    <cellStyle name="20% - Акцент1 4 4" xfId="39"/>
    <cellStyle name="20% - Акцент1 5" xfId="40"/>
    <cellStyle name="20% - Акцент1 5 1" xfId="41"/>
    <cellStyle name="20% - Акцент1 5 1 1" xfId="42"/>
    <cellStyle name="20% - Акцент1 5 2" xfId="43"/>
    <cellStyle name="20% - Акцент1 5 2 1" xfId="44"/>
    <cellStyle name="20% - Акцент1 5 3" xfId="45"/>
    <cellStyle name="20% - Акцент1 5 3 1" xfId="46"/>
    <cellStyle name="20% - Акцент1 5 4" xfId="47"/>
    <cellStyle name="20% - Акцент1 6" xfId="48"/>
    <cellStyle name="20% - Акцент1 6 1" xfId="49"/>
    <cellStyle name="20% - Акцент1 7" xfId="50"/>
    <cellStyle name="20% - Акцент1 7 1" xfId="51"/>
    <cellStyle name="20% - Акцент1 8" xfId="52"/>
    <cellStyle name="20% - Акцент1 8 1" xfId="53"/>
    <cellStyle name="20% - Акцент1 9" xfId="54"/>
    <cellStyle name="20% - Акцент2 1" xfId="55"/>
    <cellStyle name="20% - Акцент2 1 1" xfId="56"/>
    <cellStyle name="20% - Акцент2 1 1 1" xfId="57"/>
    <cellStyle name="20% - Акцент2 1 2" xfId="58"/>
    <cellStyle name="20% - Акцент2 1 2 1" xfId="59"/>
    <cellStyle name="20% - Акцент2 1 3" xfId="60"/>
    <cellStyle name="20% - Акцент2 1 3 1" xfId="61"/>
    <cellStyle name="20% - Акцент2 1 4" xfId="62"/>
    <cellStyle name="20% - Акцент2 10" xfId="63"/>
    <cellStyle name="20% - Акцент2 2" xfId="64"/>
    <cellStyle name="20% - Акцент2 2 1" xfId="65"/>
    <cellStyle name="20% - Акцент2 2 1 1" xfId="66"/>
    <cellStyle name="20% - Акцент2 2 2" xfId="67"/>
    <cellStyle name="20% - Акцент2 2 2 1" xfId="68"/>
    <cellStyle name="20% - Акцент2 2 3" xfId="69"/>
    <cellStyle name="20% - Акцент2 2 3 1" xfId="70"/>
    <cellStyle name="20% - Акцент2 2 4" xfId="71"/>
    <cellStyle name="20% - Акцент2 3" xfId="72"/>
    <cellStyle name="20% - Акцент2 3 1" xfId="73"/>
    <cellStyle name="20% - Акцент2 3 1 1" xfId="74"/>
    <cellStyle name="20% - Акцент2 3 2" xfId="75"/>
    <cellStyle name="20% - Акцент2 3 2 1" xfId="76"/>
    <cellStyle name="20% - Акцент2 3 3" xfId="77"/>
    <cellStyle name="20% - Акцент2 3 3 1" xfId="78"/>
    <cellStyle name="20% - Акцент2 3 4" xfId="79"/>
    <cellStyle name="20% - Акцент2 4" xfId="80"/>
    <cellStyle name="20% - Акцент2 4 1" xfId="81"/>
    <cellStyle name="20% - Акцент2 4 1 1" xfId="82"/>
    <cellStyle name="20% - Акцент2 4 2" xfId="83"/>
    <cellStyle name="20% - Акцент2 4 2 1" xfId="84"/>
    <cellStyle name="20% - Акцент2 4 3" xfId="85"/>
    <cellStyle name="20% - Акцент2 4 3 1" xfId="86"/>
    <cellStyle name="20% - Акцент2 4 4" xfId="87"/>
    <cellStyle name="20% - Акцент2 5" xfId="88"/>
    <cellStyle name="20% - Акцент2 5 1" xfId="89"/>
    <cellStyle name="20% - Акцент2 5 1 1" xfId="90"/>
    <cellStyle name="20% - Акцент2 5 2" xfId="91"/>
    <cellStyle name="20% - Акцент2 5 2 1" xfId="92"/>
    <cellStyle name="20% - Акцент2 5 3" xfId="93"/>
    <cellStyle name="20% - Акцент2 5 3 1" xfId="94"/>
    <cellStyle name="20% - Акцент2 5 4" xfId="95"/>
    <cellStyle name="20% - Акцент2 6" xfId="96"/>
    <cellStyle name="20% - Акцент2 6 1" xfId="97"/>
    <cellStyle name="20% - Акцент2 7" xfId="98"/>
    <cellStyle name="20% - Акцент2 7 1" xfId="99"/>
    <cellStyle name="20% - Акцент2 8" xfId="100"/>
    <cellStyle name="20% - Акцент2 8 1" xfId="101"/>
    <cellStyle name="20% - Акцент2 9" xfId="102"/>
    <cellStyle name="20% - Акцент3 1" xfId="103"/>
    <cellStyle name="20% - Акцент3 1 1" xfId="104"/>
    <cellStyle name="20% - Акцент3 1 1 1" xfId="105"/>
    <cellStyle name="20% - Акцент3 1 2" xfId="106"/>
    <cellStyle name="20% - Акцент3 1 2 1" xfId="107"/>
    <cellStyle name="20% - Акцент3 1 3" xfId="108"/>
    <cellStyle name="20% - Акцент3 1 3 1" xfId="109"/>
    <cellStyle name="20% - Акцент3 1 4" xfId="110"/>
    <cellStyle name="20% - Акцент3 10" xfId="111"/>
    <cellStyle name="20% - Акцент3 2" xfId="112"/>
    <cellStyle name="20% - Акцент3 2 1" xfId="113"/>
    <cellStyle name="20% - Акцент3 2 1 1" xfId="114"/>
    <cellStyle name="20% - Акцент3 2 2" xfId="115"/>
    <cellStyle name="20% - Акцент3 2 2 1" xfId="116"/>
    <cellStyle name="20% - Акцент3 2 3" xfId="117"/>
    <cellStyle name="20% - Акцент3 2 3 1" xfId="118"/>
    <cellStyle name="20% - Акцент3 2 4" xfId="119"/>
    <cellStyle name="20% - Акцент3 3" xfId="120"/>
    <cellStyle name="20% - Акцент3 3 1" xfId="121"/>
    <cellStyle name="20% - Акцент3 3 1 1" xfId="122"/>
    <cellStyle name="20% - Акцент3 3 2" xfId="123"/>
    <cellStyle name="20% - Акцент3 3 2 1" xfId="124"/>
    <cellStyle name="20% - Акцент3 3 3" xfId="125"/>
    <cellStyle name="20% - Акцент3 3 3 1" xfId="126"/>
    <cellStyle name="20% - Акцент3 3 4" xfId="127"/>
    <cellStyle name="20% - Акцент3 4" xfId="128"/>
    <cellStyle name="20% - Акцент3 4 1" xfId="129"/>
    <cellStyle name="20% - Акцент3 4 1 1" xfId="130"/>
    <cellStyle name="20% - Акцент3 4 2" xfId="131"/>
    <cellStyle name="20% - Акцент3 4 2 1" xfId="132"/>
    <cellStyle name="20% - Акцент3 4 3" xfId="133"/>
    <cellStyle name="20% - Акцент3 4 3 1" xfId="134"/>
    <cellStyle name="20% - Акцент3 4 4" xfId="135"/>
    <cellStyle name="20% - Акцент3 5" xfId="136"/>
    <cellStyle name="20% - Акцент3 5 1" xfId="137"/>
    <cellStyle name="20% - Акцент3 5 1 1" xfId="138"/>
    <cellStyle name="20% - Акцент3 5 2" xfId="139"/>
    <cellStyle name="20% - Акцент3 5 2 1" xfId="140"/>
    <cellStyle name="20% - Акцент3 5 3" xfId="141"/>
    <cellStyle name="20% - Акцент3 5 3 1" xfId="142"/>
    <cellStyle name="20% - Акцент3 5 4" xfId="143"/>
    <cellStyle name="20% - Акцент3 6" xfId="144"/>
    <cellStyle name="20% - Акцент3 6 1" xfId="145"/>
    <cellStyle name="20% - Акцент3 7" xfId="146"/>
    <cellStyle name="20% - Акцент3 7 1" xfId="147"/>
    <cellStyle name="20% - Акцент3 8" xfId="148"/>
    <cellStyle name="20% - Акцент3 8 1" xfId="149"/>
    <cellStyle name="20% - Акцент3 9" xfId="150"/>
    <cellStyle name="20% - Акцент4 1" xfId="151"/>
    <cellStyle name="20% - Акцент4 1 1" xfId="152"/>
    <cellStyle name="20% - Акцент4 1 1 1" xfId="153"/>
    <cellStyle name="20% - Акцент4 1 2" xfId="154"/>
    <cellStyle name="20% - Акцент4 1 2 1" xfId="155"/>
    <cellStyle name="20% - Акцент4 1 3" xfId="156"/>
    <cellStyle name="20% - Акцент4 1 3 1" xfId="157"/>
    <cellStyle name="20% - Акцент4 1 4" xfId="158"/>
    <cellStyle name="20% - Акцент4 10" xfId="159"/>
    <cellStyle name="20% - Акцент4 2" xfId="160"/>
    <cellStyle name="20% - Акцент4 2 1" xfId="161"/>
    <cellStyle name="20% - Акцент4 2 1 1" xfId="162"/>
    <cellStyle name="20% - Акцент4 2 2" xfId="163"/>
    <cellStyle name="20% - Акцент4 2 2 1" xfId="164"/>
    <cellStyle name="20% - Акцент4 2 3" xfId="165"/>
    <cellStyle name="20% - Акцент4 2 3 1" xfId="166"/>
    <cellStyle name="20% - Акцент4 2 4" xfId="167"/>
    <cellStyle name="20% - Акцент4 3" xfId="168"/>
    <cellStyle name="20% - Акцент4 3 1" xfId="169"/>
    <cellStyle name="20% - Акцент4 3 1 1" xfId="170"/>
    <cellStyle name="20% - Акцент4 3 2" xfId="171"/>
    <cellStyle name="20% - Акцент4 3 2 1" xfId="172"/>
    <cellStyle name="20% - Акцент4 3 3" xfId="173"/>
    <cellStyle name="20% - Акцент4 3 3 1" xfId="174"/>
    <cellStyle name="20% - Акцент4 3 4" xfId="175"/>
    <cellStyle name="20% - Акцент4 4" xfId="176"/>
    <cellStyle name="20% - Акцент4 4 1" xfId="177"/>
    <cellStyle name="20% - Акцент4 4 1 1" xfId="178"/>
    <cellStyle name="20% - Акцент4 4 2" xfId="179"/>
    <cellStyle name="20% - Акцент4 4 2 1" xfId="180"/>
    <cellStyle name="20% - Акцент4 4 3" xfId="181"/>
    <cellStyle name="20% - Акцент4 4 3 1" xfId="182"/>
    <cellStyle name="20% - Акцент4 4 4" xfId="183"/>
    <cellStyle name="20% - Акцент4 5" xfId="184"/>
    <cellStyle name="20% - Акцент4 5 1" xfId="185"/>
    <cellStyle name="20% - Акцент4 5 1 1" xfId="186"/>
    <cellStyle name="20% - Акцент4 5 2" xfId="187"/>
    <cellStyle name="20% - Акцент4 5 2 1" xfId="188"/>
    <cellStyle name="20% - Акцент4 5 3" xfId="189"/>
    <cellStyle name="20% - Акцент4 5 3 1" xfId="190"/>
    <cellStyle name="20% - Акцент4 5 4" xfId="191"/>
    <cellStyle name="20% - Акцент4 6" xfId="192"/>
    <cellStyle name="20% - Акцент4 6 1" xfId="193"/>
    <cellStyle name="20% - Акцент4 7" xfId="194"/>
    <cellStyle name="20% - Акцент4 7 1" xfId="195"/>
    <cellStyle name="20% - Акцент4 8" xfId="196"/>
    <cellStyle name="20% - Акцент4 8 1" xfId="197"/>
    <cellStyle name="20% - Акцент4 9" xfId="198"/>
    <cellStyle name="20% - Акцент5 1" xfId="199"/>
    <cellStyle name="20% - Акцент5 1 1" xfId="200"/>
    <cellStyle name="20% - Акцент5 1 1 1" xfId="201"/>
    <cellStyle name="20% - Акцент5 1 2" xfId="202"/>
    <cellStyle name="20% - Акцент5 1 2 1" xfId="203"/>
    <cellStyle name="20% - Акцент5 1 3" xfId="204"/>
    <cellStyle name="20% - Акцент5 1 3 1" xfId="205"/>
    <cellStyle name="20% - Акцент5 1 4" xfId="206"/>
    <cellStyle name="20% - Акцент5 10" xfId="207"/>
    <cellStyle name="20% - Акцент5 2" xfId="208"/>
    <cellStyle name="20% - Акцент5 2 1" xfId="209"/>
    <cellStyle name="20% - Акцент5 2 1 1" xfId="210"/>
    <cellStyle name="20% - Акцент5 2 2" xfId="211"/>
    <cellStyle name="20% - Акцент5 2 2 1" xfId="212"/>
    <cellStyle name="20% - Акцент5 2 3" xfId="213"/>
    <cellStyle name="20% - Акцент5 2 3 1" xfId="214"/>
    <cellStyle name="20% - Акцент5 2 4" xfId="215"/>
    <cellStyle name="20% - Акцент5 3" xfId="216"/>
    <cellStyle name="20% - Акцент5 3 1" xfId="217"/>
    <cellStyle name="20% - Акцент5 3 1 1" xfId="218"/>
    <cellStyle name="20% - Акцент5 3 2" xfId="219"/>
    <cellStyle name="20% - Акцент5 3 2 1" xfId="220"/>
    <cellStyle name="20% - Акцент5 3 3" xfId="221"/>
    <cellStyle name="20% - Акцент5 3 3 1" xfId="222"/>
    <cellStyle name="20% - Акцент5 3 4" xfId="223"/>
    <cellStyle name="20% - Акцент5 4" xfId="224"/>
    <cellStyle name="20% - Акцент5 4 1" xfId="225"/>
    <cellStyle name="20% - Акцент5 4 1 1" xfId="226"/>
    <cellStyle name="20% - Акцент5 4 2" xfId="227"/>
    <cellStyle name="20% - Акцент5 4 2 1" xfId="228"/>
    <cellStyle name="20% - Акцент5 4 3" xfId="229"/>
    <cellStyle name="20% - Акцент5 4 3 1" xfId="230"/>
    <cellStyle name="20% - Акцент5 4 4" xfId="231"/>
    <cellStyle name="20% - Акцент5 5" xfId="232"/>
    <cellStyle name="20% - Акцент5 5 1" xfId="233"/>
    <cellStyle name="20% - Акцент5 5 1 1" xfId="234"/>
    <cellStyle name="20% - Акцент5 5 2" xfId="235"/>
    <cellStyle name="20% - Акцент5 5 2 1" xfId="236"/>
    <cellStyle name="20% - Акцент5 5 3" xfId="237"/>
    <cellStyle name="20% - Акцент5 5 3 1" xfId="238"/>
    <cellStyle name="20% - Акцент5 5 4" xfId="239"/>
    <cellStyle name="20% - Акцент5 6" xfId="240"/>
    <cellStyle name="20% - Акцент5 6 1" xfId="241"/>
    <cellStyle name="20% - Акцент5 7" xfId="242"/>
    <cellStyle name="20% - Акцент5 7 1" xfId="243"/>
    <cellStyle name="20% - Акцент5 8" xfId="244"/>
    <cellStyle name="20% - Акцент5 8 1" xfId="245"/>
    <cellStyle name="20% - Акцент5 9" xfId="246"/>
    <cellStyle name="20% - Акцент6 1" xfId="247"/>
    <cellStyle name="20% - Акцент6 1 1" xfId="248"/>
    <cellStyle name="20% - Акцент6 1 1 1" xfId="249"/>
    <cellStyle name="20% - Акцент6 1 2" xfId="250"/>
    <cellStyle name="20% - Акцент6 1 2 1" xfId="251"/>
    <cellStyle name="20% - Акцент6 1 3" xfId="252"/>
    <cellStyle name="20% - Акцент6 1 3 1" xfId="253"/>
    <cellStyle name="20% - Акцент6 1 4" xfId="254"/>
    <cellStyle name="20% - Акцент6 2" xfId="255"/>
    <cellStyle name="20% - Акцент6 2 1" xfId="256"/>
    <cellStyle name="20% - Акцент6 2 1 1" xfId="257"/>
    <cellStyle name="20% - Акцент6 2 2" xfId="258"/>
    <cellStyle name="20% - Акцент6 2 2 1" xfId="259"/>
    <cellStyle name="20% - Акцент6 2 3" xfId="260"/>
    <cellStyle name="20% - Акцент6 2 3 1" xfId="261"/>
    <cellStyle name="20% - Акцент6 2 4" xfId="262"/>
    <cellStyle name="20% - Акцент6 3" xfId="263"/>
    <cellStyle name="20% - Акцент6 3 1" xfId="264"/>
    <cellStyle name="20% - Акцент6 3 1 1" xfId="265"/>
    <cellStyle name="20% - Акцент6 3 2" xfId="266"/>
    <cellStyle name="20% - Акцент6 3 2 1" xfId="267"/>
    <cellStyle name="20% - Акцент6 3 3" xfId="268"/>
    <cellStyle name="20% - Акцент6 3 3 1" xfId="269"/>
    <cellStyle name="20% - Акцент6 3 4" xfId="270"/>
    <cellStyle name="20% - Акцент6 4" xfId="271"/>
    <cellStyle name="20% - Акцент6 4 1" xfId="272"/>
    <cellStyle name="20% - Акцент6 4 1 1" xfId="273"/>
    <cellStyle name="20% - Акцент6 4 2" xfId="274"/>
    <cellStyle name="20% - Акцент6 4 2 1" xfId="275"/>
    <cellStyle name="20% - Акцент6 4 3" xfId="276"/>
    <cellStyle name="20% - Акцент6 4 3 1" xfId="277"/>
    <cellStyle name="20% - Акцент6 4 4" xfId="278"/>
    <cellStyle name="20% - Акцент6 5" xfId="279"/>
    <cellStyle name="20% - Акцент6 5 1" xfId="280"/>
    <cellStyle name="20% - Акцент6 5 1 1" xfId="281"/>
    <cellStyle name="20% - Акцент6 5 2" xfId="282"/>
    <cellStyle name="20% - Акцент6 5 2 1" xfId="283"/>
    <cellStyle name="20% - Акцент6 5 3" xfId="284"/>
    <cellStyle name="20% - Акцент6 5 3 1" xfId="285"/>
    <cellStyle name="20% - Акцент6 5 4" xfId="286"/>
    <cellStyle name="20% - Акцент6 6" xfId="287"/>
    <cellStyle name="20% - Акцент6 6 1" xfId="288"/>
    <cellStyle name="20% - Акцент6 7" xfId="289"/>
    <cellStyle name="20% - Акцент6 7 1" xfId="290"/>
    <cellStyle name="20% - Акцент6 8" xfId="291"/>
    <cellStyle name="20% - Акцент6 8 1" xfId="292"/>
    <cellStyle name="20% - Акцент6 9" xfId="293"/>
    <cellStyle name="40% - Акцент1 1" xfId="294"/>
    <cellStyle name="40% - Акцент1 1 1" xfId="295"/>
    <cellStyle name="40% - Акцент1 1 1 1" xfId="296"/>
    <cellStyle name="40% - Акцент1 1 2" xfId="297"/>
    <cellStyle name="40% - Акцент1 1 2 1" xfId="298"/>
    <cellStyle name="40% - Акцент1 1 3" xfId="299"/>
    <cellStyle name="40% - Акцент1 1 3 1" xfId="300"/>
    <cellStyle name="40% - Акцент1 1 4" xfId="301"/>
    <cellStyle name="40% - Акцент1 2" xfId="302"/>
    <cellStyle name="40% - Акцент1 2 1" xfId="303"/>
    <cellStyle name="40% - Акцент1 2 1 1" xfId="304"/>
    <cellStyle name="40% - Акцент1 2 2" xfId="305"/>
    <cellStyle name="40% - Акцент1 2 2 1" xfId="306"/>
    <cellStyle name="40% - Акцент1 2 3" xfId="307"/>
    <cellStyle name="40% - Акцент1 2 3 1" xfId="308"/>
    <cellStyle name="40% - Акцент1 2 4" xfId="309"/>
    <cellStyle name="40% - Акцент1 3" xfId="310"/>
    <cellStyle name="40% - Акцент1 3 1" xfId="311"/>
    <cellStyle name="40% - Акцент1 3 1 1" xfId="312"/>
    <cellStyle name="40% - Акцент1 3 2" xfId="313"/>
    <cellStyle name="40% - Акцент1 3 2 1" xfId="314"/>
    <cellStyle name="40% - Акцент1 3 3" xfId="315"/>
    <cellStyle name="40% - Акцент1 3 3 1" xfId="316"/>
    <cellStyle name="40% - Акцент1 3 4" xfId="317"/>
    <cellStyle name="40% - Акцент1 4" xfId="318"/>
    <cellStyle name="40% - Акцент1 4 1" xfId="319"/>
    <cellStyle name="40% - Акцент1 4 1 1" xfId="320"/>
    <cellStyle name="40% - Акцент1 4 2" xfId="321"/>
    <cellStyle name="40% - Акцент1 4 2 1" xfId="322"/>
    <cellStyle name="40% - Акцент1 4 3" xfId="323"/>
    <cellStyle name="40% - Акцент1 4 3 1" xfId="324"/>
    <cellStyle name="40% - Акцент1 4 4" xfId="325"/>
    <cellStyle name="40% - Акцент1 5" xfId="326"/>
    <cellStyle name="40% - Акцент1 5 1" xfId="327"/>
    <cellStyle name="40% - Акцент1 5 1 1" xfId="328"/>
    <cellStyle name="40% - Акцент1 5 2" xfId="329"/>
    <cellStyle name="40% - Акцент1 5 2 1" xfId="330"/>
    <cellStyle name="40% - Акцент1 5 3" xfId="331"/>
    <cellStyle name="40% - Акцент1 5 3 1" xfId="332"/>
    <cellStyle name="40% - Акцент1 5 4" xfId="333"/>
    <cellStyle name="40% - Акцент1 6" xfId="334"/>
    <cellStyle name="40% - Акцент1 6 1" xfId="335"/>
    <cellStyle name="40% - Акцент1 7" xfId="336"/>
    <cellStyle name="40% - Акцент1 7 1" xfId="337"/>
    <cellStyle name="40% - Акцент1 8" xfId="338"/>
    <cellStyle name="40% - Акцент1 8 1" xfId="339"/>
    <cellStyle name="40% - Акцент1 9" xfId="340"/>
    <cellStyle name="40% - Акцент2 1" xfId="341"/>
    <cellStyle name="40% - Акцент2 1 1" xfId="342"/>
    <cellStyle name="40% - Акцент2 1 1 1" xfId="343"/>
    <cellStyle name="40% - Акцент2 1 2" xfId="344"/>
    <cellStyle name="40% - Акцент2 1 2 1" xfId="345"/>
    <cellStyle name="40% - Акцент2 1 3" xfId="346"/>
    <cellStyle name="40% - Акцент2 1 3 1" xfId="347"/>
    <cellStyle name="40% - Акцент2 1 4" xfId="348"/>
    <cellStyle name="40% - Акцент2 2" xfId="349"/>
    <cellStyle name="40% - Акцент2 2 1" xfId="350"/>
    <cellStyle name="40% - Акцент2 2 1 1" xfId="351"/>
    <cellStyle name="40% - Акцент2 2 2" xfId="352"/>
    <cellStyle name="40% - Акцент2 2 2 1" xfId="353"/>
    <cellStyle name="40% - Акцент2 2 3" xfId="354"/>
    <cellStyle name="40% - Акцент2 2 3 1" xfId="355"/>
    <cellStyle name="40% - Акцент2 2 4" xfId="356"/>
    <cellStyle name="40% - Акцент2 3" xfId="357"/>
    <cellStyle name="40% - Акцент2 3 1" xfId="358"/>
    <cellStyle name="40% - Акцент2 3 1 1" xfId="359"/>
    <cellStyle name="40% - Акцент2 3 2" xfId="360"/>
    <cellStyle name="40% - Акцент2 3 2 1" xfId="361"/>
    <cellStyle name="40% - Акцент2 3 3" xfId="362"/>
    <cellStyle name="40% - Акцент2 3 3 1" xfId="363"/>
    <cellStyle name="40% - Акцент2 3 4" xfId="364"/>
    <cellStyle name="40% - Акцент2 4" xfId="365"/>
    <cellStyle name="40% - Акцент2 4 1" xfId="366"/>
    <cellStyle name="40% - Акцент2 4 1 1" xfId="367"/>
    <cellStyle name="40% - Акцент2 4 2" xfId="368"/>
    <cellStyle name="40% - Акцент2 4 2 1" xfId="369"/>
    <cellStyle name="40% - Акцент2 4 3" xfId="370"/>
    <cellStyle name="40% - Акцент2 4 3 1" xfId="371"/>
    <cellStyle name="40% - Акцент2 4 4" xfId="372"/>
    <cellStyle name="40% - Акцент2 5" xfId="373"/>
    <cellStyle name="40% - Акцент2 5 1" xfId="374"/>
    <cellStyle name="40% - Акцент2 5 1 1" xfId="375"/>
    <cellStyle name="40% - Акцент2 5 2" xfId="376"/>
    <cellStyle name="40% - Акцент2 5 2 1" xfId="377"/>
    <cellStyle name="40% - Акцент2 5 3" xfId="378"/>
    <cellStyle name="40% - Акцент2 5 3 1" xfId="379"/>
    <cellStyle name="40% - Акцент2 5 4" xfId="380"/>
    <cellStyle name="40% - Акцент2 6" xfId="381"/>
    <cellStyle name="40% - Акцент2 6 1" xfId="382"/>
    <cellStyle name="40% - Акцент2 7" xfId="383"/>
    <cellStyle name="40% - Акцент2 7 1" xfId="384"/>
    <cellStyle name="40% - Акцент2 8" xfId="385"/>
    <cellStyle name="40% - Акцент2 8 1" xfId="386"/>
    <cellStyle name="40% - Акцент2 9" xfId="387"/>
    <cellStyle name="40% - Акцент3 1" xfId="388"/>
    <cellStyle name="40% - Акцент3 1 1" xfId="389"/>
    <cellStyle name="40% - Акцент3 1 1 1" xfId="390"/>
    <cellStyle name="40% - Акцент3 1 2" xfId="391"/>
    <cellStyle name="40% - Акцент3 1 2 1" xfId="392"/>
    <cellStyle name="40% - Акцент3 1 3" xfId="393"/>
    <cellStyle name="40% - Акцент3 1 3 1" xfId="394"/>
    <cellStyle name="40% - Акцент3 1 4" xfId="395"/>
    <cellStyle name="40% - Акцент3 2" xfId="396"/>
    <cellStyle name="40% - Акцент3 2 1" xfId="397"/>
    <cellStyle name="40% - Акцент3 2 1 1" xfId="398"/>
    <cellStyle name="40% - Акцент3 2 2" xfId="399"/>
    <cellStyle name="40% - Акцент3 2 2 1" xfId="400"/>
    <cellStyle name="40% - Акцент3 2 3" xfId="401"/>
    <cellStyle name="40% - Акцент3 2 3 1" xfId="402"/>
    <cellStyle name="40% - Акцент3 2 4" xfId="403"/>
    <cellStyle name="40% - Акцент3 3" xfId="404"/>
    <cellStyle name="40% - Акцент3 3 1" xfId="405"/>
    <cellStyle name="40% - Акцент3 3 1 1" xfId="406"/>
    <cellStyle name="40% - Акцент3 3 2" xfId="407"/>
    <cellStyle name="40% - Акцент3 3 2 1" xfId="408"/>
    <cellStyle name="40% - Акцент3 3 3" xfId="409"/>
    <cellStyle name="40% - Акцент3 3 3 1" xfId="410"/>
    <cellStyle name="40% - Акцент3 3 4" xfId="411"/>
    <cellStyle name="40% - Акцент3 4" xfId="412"/>
    <cellStyle name="40% - Акцент3 4 1" xfId="413"/>
    <cellStyle name="40% - Акцент3 4 1 1" xfId="414"/>
    <cellStyle name="40% - Акцент3 4 2" xfId="415"/>
    <cellStyle name="40% - Акцент3 4 2 1" xfId="416"/>
    <cellStyle name="40% - Акцент3 4 3" xfId="417"/>
    <cellStyle name="40% - Акцент3 4 3 1" xfId="418"/>
    <cellStyle name="40% - Акцент3 4 4" xfId="419"/>
    <cellStyle name="40% - Акцент3 5" xfId="420"/>
    <cellStyle name="40% - Акцент3 5 1" xfId="421"/>
    <cellStyle name="40% - Акцент3 5 1 1" xfId="422"/>
    <cellStyle name="40% - Акцент3 5 2" xfId="423"/>
    <cellStyle name="40% - Акцент3 5 2 1" xfId="424"/>
    <cellStyle name="40% - Акцент3 5 3" xfId="425"/>
    <cellStyle name="40% - Акцент3 5 3 1" xfId="426"/>
    <cellStyle name="40% - Акцент3 5 4" xfId="427"/>
    <cellStyle name="40% - Акцент3 6" xfId="428"/>
    <cellStyle name="40% - Акцент3 6 1" xfId="429"/>
    <cellStyle name="40% - Акцент3 7" xfId="430"/>
    <cellStyle name="40% - Акцент3 7 1" xfId="431"/>
    <cellStyle name="40% - Акцент3 8" xfId="432"/>
    <cellStyle name="40% - Акцент3 8 1" xfId="433"/>
    <cellStyle name="40% - Акцент3 9" xfId="434"/>
    <cellStyle name="40% - Акцент4 1" xfId="435"/>
    <cellStyle name="40% - Акцент4 1 1" xfId="436"/>
    <cellStyle name="40% - Акцент4 1 1 1" xfId="437"/>
    <cellStyle name="40% - Акцент4 1 2" xfId="438"/>
    <cellStyle name="40% - Акцент4 1 2 1" xfId="439"/>
    <cellStyle name="40% - Акцент4 1 3" xfId="440"/>
    <cellStyle name="40% - Акцент4 1 3 1" xfId="441"/>
    <cellStyle name="40% - Акцент4 1 4" xfId="442"/>
    <cellStyle name="40% - Акцент4 2" xfId="443"/>
    <cellStyle name="40% - Акцент4 2 1" xfId="444"/>
    <cellStyle name="40% - Акцент4 2 1 1" xfId="445"/>
    <cellStyle name="40% - Акцент4 2 2" xfId="446"/>
    <cellStyle name="40% - Акцент4 2 2 1" xfId="447"/>
    <cellStyle name="40% - Акцент4 2 3" xfId="448"/>
    <cellStyle name="40% - Акцент4 2 3 1" xfId="449"/>
    <cellStyle name="40% - Акцент4 2 4" xfId="450"/>
    <cellStyle name="40% - Акцент4 3" xfId="451"/>
    <cellStyle name="40% - Акцент4 3 1" xfId="452"/>
    <cellStyle name="40% - Акцент4 3 1 1" xfId="453"/>
    <cellStyle name="40% - Акцент4 3 2" xfId="454"/>
    <cellStyle name="40% - Акцент4 3 2 1" xfId="455"/>
    <cellStyle name="40% - Акцент4 3 3" xfId="456"/>
    <cellStyle name="40% - Акцент4 3 3 1" xfId="457"/>
    <cellStyle name="40% - Акцент4 3 4" xfId="458"/>
    <cellStyle name="40% - Акцент4 4" xfId="459"/>
    <cellStyle name="40% - Акцент4 4 1" xfId="460"/>
    <cellStyle name="40% - Акцент4 4 1 1" xfId="461"/>
    <cellStyle name="40% - Акцент4 4 2" xfId="462"/>
    <cellStyle name="40% - Акцент4 4 2 1" xfId="463"/>
    <cellStyle name="40% - Акцент4 4 3" xfId="464"/>
    <cellStyle name="40% - Акцент4 4 3 1" xfId="465"/>
    <cellStyle name="40% - Акцент4 4 4" xfId="466"/>
    <cellStyle name="40% - Акцент4 5" xfId="467"/>
    <cellStyle name="40% - Акцент4 5 1" xfId="468"/>
    <cellStyle name="40% - Акцент4 5 1 1" xfId="469"/>
    <cellStyle name="40% - Акцент4 5 2" xfId="470"/>
    <cellStyle name="40% - Акцент4 5 2 1" xfId="471"/>
    <cellStyle name="40% - Акцент4 5 3" xfId="472"/>
    <cellStyle name="40% - Акцент4 5 3 1" xfId="473"/>
    <cellStyle name="40% - Акцент4 5 4" xfId="474"/>
    <cellStyle name="40% - Акцент4 6" xfId="475"/>
    <cellStyle name="40% - Акцент4 6 1" xfId="476"/>
    <cellStyle name="40% - Акцент4 7" xfId="477"/>
    <cellStyle name="40% - Акцент4 7 1" xfId="478"/>
    <cellStyle name="40% - Акцент4 8" xfId="479"/>
    <cellStyle name="40% - Акцент4 8 1" xfId="480"/>
    <cellStyle name="40% - Акцент4 9" xfId="481"/>
    <cellStyle name="40% - Акцент5 1" xfId="482"/>
    <cellStyle name="40% - Акцент5 1 1" xfId="483"/>
    <cellStyle name="40% - Акцент5 1 1 1" xfId="484"/>
    <cellStyle name="40% - Акцент5 1 2" xfId="485"/>
    <cellStyle name="40% - Акцент5 1 2 1" xfId="486"/>
    <cellStyle name="40% - Акцент5 1 3" xfId="487"/>
    <cellStyle name="40% - Акцент5 1 3 1" xfId="488"/>
    <cellStyle name="40% - Акцент5 1 4" xfId="489"/>
    <cellStyle name="40% - Акцент5 2" xfId="490"/>
    <cellStyle name="40% - Акцент5 2 1" xfId="491"/>
    <cellStyle name="40% - Акцент5 2 1 1" xfId="492"/>
    <cellStyle name="40% - Акцент5 2 2" xfId="493"/>
    <cellStyle name="40% - Акцент5 2 2 1" xfId="494"/>
    <cellStyle name="40% - Акцент5 2 3" xfId="495"/>
    <cellStyle name="40% - Акцент5 2 3 1" xfId="496"/>
    <cellStyle name="40% - Акцент5 2 4" xfId="497"/>
    <cellStyle name="40% - Акцент5 3" xfId="498"/>
    <cellStyle name="40% - Акцент5 3 1" xfId="499"/>
    <cellStyle name="40% - Акцент5 3 1 1" xfId="500"/>
    <cellStyle name="40% - Акцент5 3 2" xfId="501"/>
    <cellStyle name="40% - Акцент5 3 2 1" xfId="502"/>
    <cellStyle name="40% - Акцент5 3 3" xfId="503"/>
    <cellStyle name="40% - Акцент5 3 3 1" xfId="504"/>
    <cellStyle name="40% - Акцент5 3 4" xfId="505"/>
    <cellStyle name="40% - Акцент5 4" xfId="506"/>
    <cellStyle name="40% - Акцент5 4 1" xfId="507"/>
    <cellStyle name="40% - Акцент5 4 1 1" xfId="508"/>
    <cellStyle name="40% - Акцент5 4 2" xfId="509"/>
    <cellStyle name="40% - Акцент5 4 2 1" xfId="510"/>
    <cellStyle name="40% - Акцент5 4 3" xfId="511"/>
    <cellStyle name="40% - Акцент5 4 3 1" xfId="512"/>
    <cellStyle name="40% - Акцент5 4 4" xfId="513"/>
    <cellStyle name="40% - Акцент5 5" xfId="514"/>
    <cellStyle name="40% - Акцент5 5 1" xfId="515"/>
    <cellStyle name="40% - Акцент5 5 1 1" xfId="516"/>
    <cellStyle name="40% - Акцент5 5 2" xfId="517"/>
    <cellStyle name="40% - Акцент5 5 2 1" xfId="518"/>
    <cellStyle name="40% - Акцент5 5 3" xfId="519"/>
    <cellStyle name="40% - Акцент5 5 3 1" xfId="520"/>
    <cellStyle name="40% - Акцент5 5 4" xfId="521"/>
    <cellStyle name="40% - Акцент5 6" xfId="522"/>
    <cellStyle name="40% - Акцент5 6 1" xfId="523"/>
    <cellStyle name="40% - Акцент5 7" xfId="524"/>
    <cellStyle name="40% - Акцент5 7 1" xfId="525"/>
    <cellStyle name="40% - Акцент5 8" xfId="526"/>
    <cellStyle name="40% - Акцент5 8 1" xfId="527"/>
    <cellStyle name="40% - Акцент5 9" xfId="528"/>
    <cellStyle name="40% - Акцент6 1" xfId="529"/>
    <cellStyle name="40% - Акцент6 1 1" xfId="530"/>
    <cellStyle name="40% - Акцент6 1 1 1" xfId="531"/>
    <cellStyle name="40% - Акцент6 1 2" xfId="532"/>
    <cellStyle name="40% - Акцент6 1 2 1" xfId="533"/>
    <cellStyle name="40% - Акцент6 1 3" xfId="534"/>
    <cellStyle name="40% - Акцент6 1 3 1" xfId="535"/>
    <cellStyle name="40% - Акцент6 1 4" xfId="536"/>
    <cellStyle name="40% - Акцент6 2" xfId="537"/>
    <cellStyle name="40% - Акцент6 2 1" xfId="538"/>
    <cellStyle name="40% - Акцент6 2 1 1" xfId="539"/>
    <cellStyle name="40% - Акцент6 2 2" xfId="540"/>
    <cellStyle name="40% - Акцент6 2 2 1" xfId="541"/>
    <cellStyle name="40% - Акцент6 2 3" xfId="542"/>
    <cellStyle name="40% - Акцент6 2 3 1" xfId="543"/>
    <cellStyle name="40% - Акцент6 2 4" xfId="544"/>
    <cellStyle name="40% - Акцент6 3" xfId="545"/>
    <cellStyle name="40% - Акцент6 3 1" xfId="546"/>
    <cellStyle name="40% - Акцент6 3 1 1" xfId="547"/>
    <cellStyle name="40% - Акцент6 3 2" xfId="548"/>
    <cellStyle name="40% - Акцент6 3 2 1" xfId="549"/>
    <cellStyle name="40% - Акцент6 3 3" xfId="550"/>
    <cellStyle name="40% - Акцент6 3 3 1" xfId="551"/>
    <cellStyle name="40% - Акцент6 3 4" xfId="552"/>
    <cellStyle name="40% - Акцент6 4" xfId="553"/>
    <cellStyle name="40% - Акцент6 4 1" xfId="554"/>
    <cellStyle name="40% - Акцент6 4 1 1" xfId="555"/>
    <cellStyle name="40% - Акцент6 4 2" xfId="556"/>
    <cellStyle name="40% - Акцент6 4 2 1" xfId="557"/>
    <cellStyle name="40% - Акцент6 4 3" xfId="558"/>
    <cellStyle name="40% - Акцент6 4 3 1" xfId="559"/>
    <cellStyle name="40% - Акцент6 4 4" xfId="560"/>
    <cellStyle name="40% - Акцент6 5" xfId="561"/>
    <cellStyle name="40% - Акцент6 5 1" xfId="562"/>
    <cellStyle name="40% - Акцент6 5 1 1" xfId="563"/>
    <cellStyle name="40% - Акцент6 5 2" xfId="564"/>
    <cellStyle name="40% - Акцент6 5 2 1" xfId="565"/>
    <cellStyle name="40% - Акцент6 5 3" xfId="566"/>
    <cellStyle name="40% - Акцент6 5 3 1" xfId="567"/>
    <cellStyle name="40% - Акцент6 5 4" xfId="568"/>
    <cellStyle name="40% - Акцент6 6" xfId="569"/>
    <cellStyle name="40% - Акцент6 6 1" xfId="570"/>
    <cellStyle name="40% - Акцент6 7" xfId="571"/>
    <cellStyle name="40% - Акцент6 7 1" xfId="572"/>
    <cellStyle name="40% - Акцент6 8" xfId="573"/>
    <cellStyle name="40% - Акцент6 8 1" xfId="574"/>
    <cellStyle name="40% - Акцент6 9" xfId="575"/>
    <cellStyle name="60% - Акцент1 1" xfId="576"/>
    <cellStyle name="60% - Акцент1 1 1" xfId="577"/>
    <cellStyle name="60% - Акцент1 1 1 1" xfId="578"/>
    <cellStyle name="60% - Акцент1 1 2" xfId="579"/>
    <cellStyle name="60% - Акцент1 1 2 1" xfId="580"/>
    <cellStyle name="60% - Акцент1 1 3" xfId="581"/>
    <cellStyle name="60% - Акцент1 1 3 1" xfId="582"/>
    <cellStyle name="60% - Акцент1 1 4" xfId="583"/>
    <cellStyle name="60% - Акцент1 2" xfId="584"/>
    <cellStyle name="60% - Акцент1 2 1" xfId="585"/>
    <cellStyle name="60% - Акцент1 2 1 1" xfId="586"/>
    <cellStyle name="60% - Акцент1 2 2" xfId="587"/>
    <cellStyle name="60% - Акцент1 2 2 1" xfId="588"/>
    <cellStyle name="60% - Акцент1 2 3" xfId="589"/>
    <cellStyle name="60% - Акцент1 2 3 1" xfId="590"/>
    <cellStyle name="60% - Акцент1 2 4" xfId="591"/>
    <cellStyle name="60% - Акцент1 3" xfId="592"/>
    <cellStyle name="60% - Акцент1 3 1" xfId="593"/>
    <cellStyle name="60% - Акцент1 3 1 1" xfId="594"/>
    <cellStyle name="60% - Акцент1 3 2" xfId="595"/>
    <cellStyle name="60% - Акцент1 3 2 1" xfId="596"/>
    <cellStyle name="60% - Акцент1 3 3" xfId="597"/>
    <cellStyle name="60% - Акцент1 3 3 1" xfId="598"/>
    <cellStyle name="60% - Акцент1 3 4" xfId="599"/>
    <cellStyle name="60% - Акцент1 4" xfId="600"/>
    <cellStyle name="60% - Акцент1 4 1" xfId="601"/>
    <cellStyle name="60% - Акцент1 4 1 1" xfId="602"/>
    <cellStyle name="60% - Акцент1 4 2" xfId="603"/>
    <cellStyle name="60% - Акцент1 4 2 1" xfId="604"/>
    <cellStyle name="60% - Акцент1 4 3" xfId="605"/>
    <cellStyle name="60% - Акцент1 4 3 1" xfId="606"/>
    <cellStyle name="60% - Акцент1 4 4" xfId="607"/>
    <cellStyle name="60% - Акцент1 5" xfId="608"/>
    <cellStyle name="60% - Акцент1 5 1" xfId="609"/>
    <cellStyle name="60% - Акцент1 5 1 1" xfId="610"/>
    <cellStyle name="60% - Акцент1 5 2" xfId="611"/>
    <cellStyle name="60% - Акцент1 5 2 1" xfId="612"/>
    <cellStyle name="60% - Акцент1 5 3" xfId="613"/>
    <cellStyle name="60% - Акцент1 5 3 1" xfId="614"/>
    <cellStyle name="60% - Акцент1 5 4" xfId="615"/>
    <cellStyle name="60% - Акцент1 6" xfId="616"/>
    <cellStyle name="60% - Акцент1 6 1" xfId="617"/>
    <cellStyle name="60% - Акцент1 7" xfId="618"/>
    <cellStyle name="60% - Акцент1 7 1" xfId="619"/>
    <cellStyle name="60% - Акцент1 8" xfId="620"/>
    <cellStyle name="60% - Акцент1 8 1" xfId="621"/>
    <cellStyle name="60% - Акцент1 9" xfId="622"/>
    <cellStyle name="60% - Акцент2 1" xfId="623"/>
    <cellStyle name="60% - Акцент2 1 1" xfId="624"/>
    <cellStyle name="60% - Акцент2 1 1 1" xfId="625"/>
    <cellStyle name="60% - Акцент2 1 2" xfId="626"/>
    <cellStyle name="60% - Акцент2 1 2 1" xfId="627"/>
    <cellStyle name="60% - Акцент2 1 3" xfId="628"/>
    <cellStyle name="60% - Акцент2 1 3 1" xfId="629"/>
    <cellStyle name="60% - Акцент2 1 4" xfId="630"/>
    <cellStyle name="60% - Акцент2 2" xfId="631"/>
    <cellStyle name="60% - Акцент2 2 1" xfId="632"/>
    <cellStyle name="60% - Акцент2 2 1 1" xfId="633"/>
    <cellStyle name="60% - Акцент2 2 2" xfId="634"/>
    <cellStyle name="60% - Акцент2 2 2 1" xfId="635"/>
    <cellStyle name="60% - Акцент2 2 3" xfId="636"/>
    <cellStyle name="60% - Акцент2 2 3 1" xfId="637"/>
    <cellStyle name="60% - Акцент2 2 4" xfId="638"/>
    <cellStyle name="60% - Акцент2 3" xfId="639"/>
    <cellStyle name="60% - Акцент2 3 1" xfId="640"/>
    <cellStyle name="60% - Акцент2 3 1 1" xfId="641"/>
    <cellStyle name="60% - Акцент2 3 2" xfId="642"/>
    <cellStyle name="60% - Акцент2 3 2 1" xfId="643"/>
    <cellStyle name="60% - Акцент2 3 3" xfId="644"/>
    <cellStyle name="60% - Акцент2 3 3 1" xfId="645"/>
    <cellStyle name="60% - Акцент2 3 4" xfId="646"/>
    <cellStyle name="60% - Акцент2 4" xfId="647"/>
    <cellStyle name="60% - Акцент2 4 1" xfId="648"/>
    <cellStyle name="60% - Акцент2 4 1 1" xfId="649"/>
    <cellStyle name="60% - Акцент2 4 2" xfId="650"/>
    <cellStyle name="60% - Акцент2 4 2 1" xfId="651"/>
    <cellStyle name="60% - Акцент2 4 3" xfId="652"/>
    <cellStyle name="60% - Акцент2 4 3 1" xfId="653"/>
    <cellStyle name="60% - Акцент2 4 4" xfId="654"/>
    <cellStyle name="60% - Акцент2 5" xfId="655"/>
    <cellStyle name="60% - Акцент2 5 1" xfId="656"/>
    <cellStyle name="60% - Акцент2 5 1 1" xfId="657"/>
    <cellStyle name="60% - Акцент2 5 2" xfId="658"/>
    <cellStyle name="60% - Акцент2 5 2 1" xfId="659"/>
    <cellStyle name="60% - Акцент2 5 3" xfId="660"/>
    <cellStyle name="60% - Акцент2 5 3 1" xfId="661"/>
    <cellStyle name="60% - Акцент2 5 4" xfId="662"/>
    <cellStyle name="60% - Акцент2 6" xfId="663"/>
    <cellStyle name="60% - Акцент2 6 1" xfId="664"/>
    <cellStyle name="60% - Акцент2 7" xfId="665"/>
    <cellStyle name="60% - Акцент2 7 1" xfId="666"/>
    <cellStyle name="60% - Акцент2 8" xfId="667"/>
    <cellStyle name="60% - Акцент2 8 1" xfId="668"/>
    <cellStyle name="60% - Акцент2 9" xfId="669"/>
    <cellStyle name="60% - Акцент3 1" xfId="670"/>
    <cellStyle name="60% - Акцент3 1 1" xfId="671"/>
    <cellStyle name="60% - Акцент3 1 1 1" xfId="672"/>
    <cellStyle name="60% - Акцент3 1 2" xfId="673"/>
    <cellStyle name="60% - Акцент3 1 2 1" xfId="674"/>
    <cellStyle name="60% - Акцент3 1 3" xfId="675"/>
    <cellStyle name="60% - Акцент3 1 3 1" xfId="676"/>
    <cellStyle name="60% - Акцент3 1 4" xfId="677"/>
    <cellStyle name="60% - Акцент3 2" xfId="678"/>
    <cellStyle name="60% - Акцент3 2 1" xfId="679"/>
    <cellStyle name="60% - Акцент3 2 1 1" xfId="680"/>
    <cellStyle name="60% - Акцент3 2 2" xfId="681"/>
    <cellStyle name="60% - Акцент3 2 2 1" xfId="682"/>
    <cellStyle name="60% - Акцент3 2 3" xfId="683"/>
    <cellStyle name="60% - Акцент3 2 3 1" xfId="684"/>
    <cellStyle name="60% - Акцент3 2 4" xfId="685"/>
    <cellStyle name="60% - Акцент3 3" xfId="686"/>
    <cellStyle name="60% - Акцент3 3 1" xfId="687"/>
    <cellStyle name="60% - Акцент3 3 1 1" xfId="688"/>
    <cellStyle name="60% - Акцент3 3 2" xfId="689"/>
    <cellStyle name="60% - Акцент3 3 2 1" xfId="690"/>
    <cellStyle name="60% - Акцент3 3 3" xfId="691"/>
    <cellStyle name="60% - Акцент3 3 3 1" xfId="692"/>
    <cellStyle name="60% - Акцент3 3 4" xfId="693"/>
    <cellStyle name="60% - Акцент3 4" xfId="694"/>
    <cellStyle name="60% - Акцент3 4 1" xfId="695"/>
    <cellStyle name="60% - Акцент3 4 1 1" xfId="696"/>
    <cellStyle name="60% - Акцент3 4 2" xfId="697"/>
    <cellStyle name="60% - Акцент3 4 2 1" xfId="698"/>
    <cellStyle name="60% - Акцент3 4 3" xfId="699"/>
    <cellStyle name="60% - Акцент3 4 3 1" xfId="700"/>
    <cellStyle name="60% - Акцент3 4 4" xfId="701"/>
    <cellStyle name="60% - Акцент3 5" xfId="702"/>
    <cellStyle name="60% - Акцент3 5 1" xfId="703"/>
    <cellStyle name="60% - Акцент3 5 1 1" xfId="704"/>
    <cellStyle name="60% - Акцент3 5 2" xfId="705"/>
    <cellStyle name="60% - Акцент3 5 2 1" xfId="706"/>
    <cellStyle name="60% - Акцент3 5 3" xfId="707"/>
    <cellStyle name="60% - Акцент3 5 3 1" xfId="708"/>
    <cellStyle name="60% - Акцент3 5 4" xfId="709"/>
    <cellStyle name="60% - Акцент3 6" xfId="710"/>
    <cellStyle name="60% - Акцент3 6 1" xfId="711"/>
    <cellStyle name="60% - Акцент3 7" xfId="712"/>
    <cellStyle name="60% - Акцент3 7 1" xfId="713"/>
    <cellStyle name="60% - Акцент3 8" xfId="714"/>
    <cellStyle name="60% - Акцент3 8 1" xfId="715"/>
    <cellStyle name="60% - Акцент3 9" xfId="716"/>
    <cellStyle name="60% - Акцент4 1" xfId="717"/>
    <cellStyle name="60% - Акцент4 1 1" xfId="718"/>
    <cellStyle name="60% - Акцент4 1 1 1" xfId="719"/>
    <cellStyle name="60% - Акцент4 1 2" xfId="720"/>
    <cellStyle name="60% - Акцент4 1 2 1" xfId="721"/>
    <cellStyle name="60% - Акцент4 1 3" xfId="722"/>
    <cellStyle name="60% - Акцент4 1 3 1" xfId="723"/>
    <cellStyle name="60% - Акцент4 1 4" xfId="724"/>
    <cellStyle name="60% - Акцент4 2" xfId="725"/>
    <cellStyle name="60% - Акцент4 2 1" xfId="726"/>
    <cellStyle name="60% - Акцент4 2 1 1" xfId="727"/>
    <cellStyle name="60% - Акцент4 2 2" xfId="728"/>
    <cellStyle name="60% - Акцент4 2 2 1" xfId="729"/>
    <cellStyle name="60% - Акцент4 2 3" xfId="730"/>
    <cellStyle name="60% - Акцент4 2 3 1" xfId="731"/>
    <cellStyle name="60% - Акцент4 2 4" xfId="732"/>
    <cellStyle name="60% - Акцент4 3" xfId="733"/>
    <cellStyle name="60% - Акцент4 3 1" xfId="734"/>
    <cellStyle name="60% - Акцент4 3 1 1" xfId="735"/>
    <cellStyle name="60% - Акцент4 3 2" xfId="736"/>
    <cellStyle name="60% - Акцент4 3 2 1" xfId="737"/>
    <cellStyle name="60% - Акцент4 3 3" xfId="738"/>
    <cellStyle name="60% - Акцент4 3 3 1" xfId="739"/>
    <cellStyle name="60% - Акцент4 3 4" xfId="740"/>
    <cellStyle name="60% - Акцент4 4" xfId="741"/>
    <cellStyle name="60% - Акцент4 4 1" xfId="742"/>
    <cellStyle name="60% - Акцент4 4 1 1" xfId="743"/>
    <cellStyle name="60% - Акцент4 4 2" xfId="744"/>
    <cellStyle name="60% - Акцент4 4 2 1" xfId="745"/>
    <cellStyle name="60% - Акцент4 4 3" xfId="746"/>
    <cellStyle name="60% - Акцент4 4 3 1" xfId="747"/>
    <cellStyle name="60% - Акцент4 4 4" xfId="748"/>
    <cellStyle name="60% - Акцент4 5" xfId="749"/>
    <cellStyle name="60% - Акцент4 5 1" xfId="750"/>
    <cellStyle name="60% - Акцент4 5 1 1" xfId="751"/>
    <cellStyle name="60% - Акцент4 5 2" xfId="752"/>
    <cellStyle name="60% - Акцент4 5 2 1" xfId="753"/>
    <cellStyle name="60% - Акцент4 5 3" xfId="754"/>
    <cellStyle name="60% - Акцент4 5 3 1" xfId="755"/>
    <cellStyle name="60% - Акцент4 5 4" xfId="756"/>
    <cellStyle name="60% - Акцент4 6" xfId="757"/>
    <cellStyle name="60% - Акцент4 6 1" xfId="758"/>
    <cellStyle name="60% - Акцент4 7" xfId="759"/>
    <cellStyle name="60% - Акцент4 7 1" xfId="760"/>
    <cellStyle name="60% - Акцент4 8" xfId="761"/>
    <cellStyle name="60% - Акцент4 8 1" xfId="762"/>
    <cellStyle name="60% - Акцент4 9" xfId="763"/>
    <cellStyle name="60% - Акцент5 1" xfId="764"/>
    <cellStyle name="60% - Акцент5 1 1" xfId="765"/>
    <cellStyle name="60% - Акцент5 1 1 1" xfId="766"/>
    <cellStyle name="60% - Акцент5 1 2" xfId="767"/>
    <cellStyle name="60% - Акцент5 1 2 1" xfId="768"/>
    <cellStyle name="60% - Акцент5 1 3" xfId="769"/>
    <cellStyle name="60% - Акцент5 1 3 1" xfId="770"/>
    <cellStyle name="60% - Акцент5 1 4" xfId="771"/>
    <cellStyle name="60% - Акцент5 2" xfId="772"/>
    <cellStyle name="60% - Акцент5 2 1" xfId="773"/>
    <cellStyle name="60% - Акцент5 2 1 1" xfId="774"/>
    <cellStyle name="60% - Акцент5 2 2" xfId="775"/>
    <cellStyle name="60% - Акцент5 2 2 1" xfId="776"/>
    <cellStyle name="60% - Акцент5 2 3" xfId="777"/>
    <cellStyle name="60% - Акцент5 2 3 1" xfId="778"/>
    <cellStyle name="60% - Акцент5 2 4" xfId="779"/>
    <cellStyle name="60% - Акцент5 3" xfId="780"/>
    <cellStyle name="60% - Акцент5 3 1" xfId="781"/>
    <cellStyle name="60% - Акцент5 3 1 1" xfId="782"/>
    <cellStyle name="60% - Акцент5 3 2" xfId="783"/>
    <cellStyle name="60% - Акцент5 3 2 1" xfId="784"/>
    <cellStyle name="60% - Акцент5 3 3" xfId="785"/>
    <cellStyle name="60% - Акцент5 3 3 1" xfId="786"/>
    <cellStyle name="60% - Акцент5 3 4" xfId="787"/>
    <cellStyle name="60% - Акцент5 4" xfId="788"/>
    <cellStyle name="60% - Акцент5 4 1" xfId="789"/>
    <cellStyle name="60% - Акцент5 4 1 1" xfId="790"/>
    <cellStyle name="60% - Акцент5 4 2" xfId="791"/>
    <cellStyle name="60% - Акцент5 4 2 1" xfId="792"/>
    <cellStyle name="60% - Акцент5 4 3" xfId="793"/>
    <cellStyle name="60% - Акцент5 4 3 1" xfId="794"/>
    <cellStyle name="60% - Акцент5 4 4" xfId="795"/>
    <cellStyle name="60% - Акцент5 5" xfId="796"/>
    <cellStyle name="60% - Акцент5 5 1" xfId="797"/>
    <cellStyle name="60% - Акцент5 5 1 1" xfId="798"/>
    <cellStyle name="60% - Акцент5 5 2" xfId="799"/>
    <cellStyle name="60% - Акцент5 5 2 1" xfId="800"/>
    <cellStyle name="60% - Акцент5 5 3" xfId="801"/>
    <cellStyle name="60% - Акцент5 5 3 1" xfId="802"/>
    <cellStyle name="60% - Акцент5 5 4" xfId="803"/>
    <cellStyle name="60% - Акцент5 6" xfId="804"/>
    <cellStyle name="60% - Акцент5 6 1" xfId="805"/>
    <cellStyle name="60% - Акцент5 7" xfId="806"/>
    <cellStyle name="60% - Акцент5 7 1" xfId="807"/>
    <cellStyle name="60% - Акцент5 8" xfId="808"/>
    <cellStyle name="60% - Акцент5 8 1" xfId="809"/>
    <cellStyle name="60% - Акцент5 9" xfId="810"/>
    <cellStyle name="60% - Акцент6 1" xfId="811"/>
    <cellStyle name="60% - Акцент6 1 1" xfId="812"/>
    <cellStyle name="60% - Акцент6 1 1 1" xfId="813"/>
    <cellStyle name="60% - Акцент6 1 2" xfId="814"/>
    <cellStyle name="60% - Акцент6 1 2 1" xfId="815"/>
    <cellStyle name="60% - Акцент6 1 3" xfId="816"/>
    <cellStyle name="60% - Акцент6 1 3 1" xfId="817"/>
    <cellStyle name="60% - Акцент6 1 4" xfId="818"/>
    <cellStyle name="60% - Акцент6 2" xfId="819"/>
    <cellStyle name="60% - Акцент6 2 1" xfId="820"/>
    <cellStyle name="60% - Акцент6 2 1 1" xfId="821"/>
    <cellStyle name="60% - Акцент6 2 2" xfId="822"/>
    <cellStyle name="60% - Акцент6 2 2 1" xfId="823"/>
    <cellStyle name="60% - Акцент6 2 3" xfId="824"/>
    <cellStyle name="60% - Акцент6 2 3 1" xfId="825"/>
    <cellStyle name="60% - Акцент6 2 4" xfId="826"/>
    <cellStyle name="60% - Акцент6 3" xfId="827"/>
    <cellStyle name="60% - Акцент6 3 1" xfId="828"/>
    <cellStyle name="60% - Акцент6 3 1 1" xfId="829"/>
    <cellStyle name="60% - Акцент6 3 2" xfId="830"/>
    <cellStyle name="60% - Акцент6 3 2 1" xfId="831"/>
    <cellStyle name="60% - Акцент6 3 3" xfId="832"/>
    <cellStyle name="60% - Акцент6 3 3 1" xfId="833"/>
    <cellStyle name="60% - Акцент6 3 4" xfId="834"/>
    <cellStyle name="60% - Акцент6 4" xfId="835"/>
    <cellStyle name="60% - Акцент6 4 1" xfId="836"/>
    <cellStyle name="60% - Акцент6 4 1 1" xfId="837"/>
    <cellStyle name="60% - Акцент6 4 2" xfId="838"/>
    <cellStyle name="60% - Акцент6 4 2 1" xfId="839"/>
    <cellStyle name="60% - Акцент6 4 3" xfId="840"/>
    <cellStyle name="60% - Акцент6 4 3 1" xfId="841"/>
    <cellStyle name="60% - Акцент6 4 4" xfId="842"/>
    <cellStyle name="60% - Акцент6 5" xfId="843"/>
    <cellStyle name="60% - Акцент6 5 1" xfId="844"/>
    <cellStyle name="60% - Акцент6 5 1 1" xfId="845"/>
    <cellStyle name="60% - Акцент6 5 2" xfId="846"/>
    <cellStyle name="60% - Акцент6 5 2 1" xfId="847"/>
    <cellStyle name="60% - Акцент6 5 3" xfId="848"/>
    <cellStyle name="60% - Акцент6 5 3 1" xfId="849"/>
    <cellStyle name="60% - Акцент6 5 4" xfId="850"/>
    <cellStyle name="60% - Акцент6 6" xfId="851"/>
    <cellStyle name="60% - Акцент6 6 1" xfId="852"/>
    <cellStyle name="60% - Акцент6 7" xfId="853"/>
    <cellStyle name="60% - Акцент6 7 1" xfId="854"/>
    <cellStyle name="60% - Акцент6 8" xfId="855"/>
    <cellStyle name="60% - Акцент6 8 1" xfId="856"/>
    <cellStyle name="60% - Акцент6 9" xfId="857"/>
    <cellStyle name="Акцент1 1" xfId="858"/>
    <cellStyle name="Акцент1 1 1" xfId="859"/>
    <cellStyle name="Акцент1 1 1 1" xfId="860"/>
    <cellStyle name="Акцент1 1 2" xfId="861"/>
    <cellStyle name="Акцент1 1 2 1" xfId="862"/>
    <cellStyle name="Акцент1 1 3" xfId="863"/>
    <cellStyle name="Акцент1 1 3 1" xfId="864"/>
    <cellStyle name="Акцент1 1 4" xfId="865"/>
    <cellStyle name="Акцент1 2" xfId="866"/>
    <cellStyle name="Акцент1 2 1" xfId="867"/>
    <cellStyle name="Акцент1 2 1 1" xfId="868"/>
    <cellStyle name="Акцент1 2 2" xfId="869"/>
    <cellStyle name="Акцент1 2 2 1" xfId="870"/>
    <cellStyle name="Акцент1 2 3" xfId="871"/>
    <cellStyle name="Акцент1 2 3 1" xfId="872"/>
    <cellStyle name="Акцент1 2 4" xfId="873"/>
    <cellStyle name="Акцент1 3" xfId="874"/>
    <cellStyle name="Акцент1 3 1" xfId="875"/>
    <cellStyle name="Акцент1 3 1 1" xfId="876"/>
    <cellStyle name="Акцент1 3 2" xfId="877"/>
    <cellStyle name="Акцент1 3 2 1" xfId="878"/>
    <cellStyle name="Акцент1 3 3" xfId="879"/>
    <cellStyle name="Акцент1 3 3 1" xfId="880"/>
    <cellStyle name="Акцент1 3 4" xfId="881"/>
    <cellStyle name="Акцент1 4" xfId="882"/>
    <cellStyle name="Акцент1 4 1" xfId="883"/>
    <cellStyle name="Акцент1 4 1 1" xfId="884"/>
    <cellStyle name="Акцент1 4 2" xfId="885"/>
    <cellStyle name="Акцент1 4 2 1" xfId="886"/>
    <cellStyle name="Акцент1 4 3" xfId="887"/>
    <cellStyle name="Акцент1 4 3 1" xfId="888"/>
    <cellStyle name="Акцент1 4 4" xfId="889"/>
    <cellStyle name="Акцент1 5" xfId="890"/>
    <cellStyle name="Акцент1 5 1" xfId="891"/>
    <cellStyle name="Акцент1 5 1 1" xfId="892"/>
    <cellStyle name="Акцент1 5 2" xfId="893"/>
    <cellStyle name="Акцент1 5 2 1" xfId="894"/>
    <cellStyle name="Акцент1 5 3" xfId="895"/>
    <cellStyle name="Акцент1 5 3 1" xfId="896"/>
    <cellStyle name="Акцент1 5 4" xfId="897"/>
    <cellStyle name="Акцент1 6" xfId="898"/>
    <cellStyle name="Акцент1 6 1" xfId="899"/>
    <cellStyle name="Акцент1 7" xfId="900"/>
    <cellStyle name="Акцент1 7 1" xfId="901"/>
    <cellStyle name="Акцент1 8" xfId="902"/>
    <cellStyle name="Акцент1 8 1" xfId="903"/>
    <cellStyle name="Акцент1 9" xfId="904"/>
    <cellStyle name="Акцент2 1" xfId="905"/>
    <cellStyle name="Акцент2 1 1" xfId="906"/>
    <cellStyle name="Акцент2 1 1 1" xfId="907"/>
    <cellStyle name="Акцент2 1 2" xfId="908"/>
    <cellStyle name="Акцент2 1 2 1" xfId="909"/>
    <cellStyle name="Акцент2 1 3" xfId="910"/>
    <cellStyle name="Акцент2 1 3 1" xfId="911"/>
    <cellStyle name="Акцент2 1 4" xfId="912"/>
    <cellStyle name="Акцент2 2" xfId="913"/>
    <cellStyle name="Акцент2 2 1" xfId="914"/>
    <cellStyle name="Акцент2 2 1 1" xfId="915"/>
    <cellStyle name="Акцент2 2 2" xfId="916"/>
    <cellStyle name="Акцент2 2 2 1" xfId="917"/>
    <cellStyle name="Акцент2 2 3" xfId="918"/>
    <cellStyle name="Акцент2 2 3 1" xfId="919"/>
    <cellStyle name="Акцент2 2 4" xfId="920"/>
    <cellStyle name="Акцент2 3" xfId="921"/>
    <cellStyle name="Акцент2 3 1" xfId="922"/>
    <cellStyle name="Акцент2 3 1 1" xfId="923"/>
    <cellStyle name="Акцент2 3 2" xfId="924"/>
    <cellStyle name="Акцент2 3 2 1" xfId="925"/>
    <cellStyle name="Акцент2 3 3" xfId="926"/>
    <cellStyle name="Акцент2 3 3 1" xfId="927"/>
    <cellStyle name="Акцент2 3 4" xfId="928"/>
    <cellStyle name="Акцент2 4" xfId="929"/>
    <cellStyle name="Акцент2 4 1" xfId="930"/>
    <cellStyle name="Акцент2 4 1 1" xfId="931"/>
    <cellStyle name="Акцент2 4 2" xfId="932"/>
    <cellStyle name="Акцент2 4 2 1" xfId="933"/>
    <cellStyle name="Акцент2 4 3" xfId="934"/>
    <cellStyle name="Акцент2 4 3 1" xfId="935"/>
    <cellStyle name="Акцент2 4 4" xfId="936"/>
    <cellStyle name="Акцент2 5" xfId="937"/>
    <cellStyle name="Акцент2 5 1" xfId="938"/>
    <cellStyle name="Акцент2 5 1 1" xfId="939"/>
    <cellStyle name="Акцент2 5 2" xfId="940"/>
    <cellStyle name="Акцент2 5 2 1" xfId="941"/>
    <cellStyle name="Акцент2 5 3" xfId="942"/>
    <cellStyle name="Акцент2 5 3 1" xfId="943"/>
    <cellStyle name="Акцент2 5 4" xfId="944"/>
    <cellStyle name="Акцент2 6" xfId="945"/>
    <cellStyle name="Акцент2 6 1" xfId="946"/>
    <cellStyle name="Акцент2 7" xfId="947"/>
    <cellStyle name="Акцент2 7 1" xfId="948"/>
    <cellStyle name="Акцент2 8" xfId="949"/>
    <cellStyle name="Акцент2 8 1" xfId="950"/>
    <cellStyle name="Акцент2 9" xfId="951"/>
    <cellStyle name="Акцент3 1" xfId="952"/>
    <cellStyle name="Акцент3 1 1" xfId="953"/>
    <cellStyle name="Акцент3 1 1 1" xfId="954"/>
    <cellStyle name="Акцент3 1 2" xfId="955"/>
    <cellStyle name="Акцент3 1 2 1" xfId="956"/>
    <cellStyle name="Акцент3 1 3" xfId="957"/>
    <cellStyle name="Акцент3 1 3 1" xfId="958"/>
    <cellStyle name="Акцент3 1 4" xfId="959"/>
    <cellStyle name="Акцент3 2" xfId="960"/>
    <cellStyle name="Акцент3 2 1" xfId="961"/>
    <cellStyle name="Акцент3 2 1 1" xfId="962"/>
    <cellStyle name="Акцент3 2 2" xfId="963"/>
    <cellStyle name="Акцент3 2 2 1" xfId="964"/>
    <cellStyle name="Акцент3 2 3" xfId="965"/>
    <cellStyle name="Акцент3 2 3 1" xfId="966"/>
    <cellStyle name="Акцент3 2 4" xfId="967"/>
    <cellStyle name="Акцент3 3" xfId="968"/>
    <cellStyle name="Акцент3 3 1" xfId="969"/>
    <cellStyle name="Акцент3 3 1 1" xfId="970"/>
    <cellStyle name="Акцент3 3 2" xfId="971"/>
    <cellStyle name="Акцент3 3 2 1" xfId="972"/>
    <cellStyle name="Акцент3 3 3" xfId="973"/>
    <cellStyle name="Акцент3 3 3 1" xfId="974"/>
    <cellStyle name="Акцент3 3 4" xfId="975"/>
    <cellStyle name="Акцент3 4" xfId="976"/>
    <cellStyle name="Акцент3 4 1" xfId="977"/>
    <cellStyle name="Акцент3 4 1 1" xfId="978"/>
    <cellStyle name="Акцент3 4 2" xfId="979"/>
    <cellStyle name="Акцент3 4 2 1" xfId="980"/>
    <cellStyle name="Акцент3 4 3" xfId="981"/>
    <cellStyle name="Акцент3 4 3 1" xfId="982"/>
    <cellStyle name="Акцент3 4 4" xfId="983"/>
    <cellStyle name="Акцент3 5" xfId="984"/>
    <cellStyle name="Акцент3 5 1" xfId="985"/>
    <cellStyle name="Акцент3 5 1 1" xfId="986"/>
    <cellStyle name="Акцент3 5 2" xfId="987"/>
    <cellStyle name="Акцент3 5 2 1" xfId="988"/>
    <cellStyle name="Акцент3 5 3" xfId="989"/>
    <cellStyle name="Акцент3 5 3 1" xfId="990"/>
    <cellStyle name="Акцент3 5 4" xfId="991"/>
    <cellStyle name="Акцент3 6" xfId="992"/>
    <cellStyle name="Акцент3 6 1" xfId="993"/>
    <cellStyle name="Акцент3 7" xfId="994"/>
    <cellStyle name="Акцент3 7 1" xfId="995"/>
    <cellStyle name="Акцент3 8" xfId="996"/>
    <cellStyle name="Акцент3 8 1" xfId="997"/>
    <cellStyle name="Акцент3 9" xfId="998"/>
    <cellStyle name="Акцент4 1" xfId="999"/>
    <cellStyle name="Акцент4 1 1" xfId="1000"/>
    <cellStyle name="Акцент4 1 1 1" xfId="1001"/>
    <cellStyle name="Акцент4 1 2" xfId="1002"/>
    <cellStyle name="Акцент4 1 2 1" xfId="1003"/>
    <cellStyle name="Акцент4 1 3" xfId="1004"/>
    <cellStyle name="Акцент4 1 3 1" xfId="1005"/>
    <cellStyle name="Акцент4 1 4" xfId="1006"/>
    <cellStyle name="Акцент4 2" xfId="1007"/>
    <cellStyle name="Акцент4 2 1" xfId="1008"/>
    <cellStyle name="Акцент4 2 1 1" xfId="1009"/>
    <cellStyle name="Акцент4 2 2" xfId="1010"/>
    <cellStyle name="Акцент4 2 2 1" xfId="1011"/>
    <cellStyle name="Акцент4 2 3" xfId="1012"/>
    <cellStyle name="Акцент4 2 3 1" xfId="1013"/>
    <cellStyle name="Акцент4 2 4" xfId="1014"/>
    <cellStyle name="Акцент4 3" xfId="1015"/>
    <cellStyle name="Акцент4 3 1" xfId="1016"/>
    <cellStyle name="Акцент4 3 1 1" xfId="1017"/>
    <cellStyle name="Акцент4 3 2" xfId="1018"/>
    <cellStyle name="Акцент4 3 2 1" xfId="1019"/>
    <cellStyle name="Акцент4 3 3" xfId="1020"/>
    <cellStyle name="Акцент4 3 3 1" xfId="1021"/>
    <cellStyle name="Акцент4 3 4" xfId="1022"/>
    <cellStyle name="Акцент4 4" xfId="1023"/>
    <cellStyle name="Акцент4 4 1" xfId="1024"/>
    <cellStyle name="Акцент4 4 1 1" xfId="1025"/>
    <cellStyle name="Акцент4 4 2" xfId="1026"/>
    <cellStyle name="Акцент4 4 2 1" xfId="1027"/>
    <cellStyle name="Акцент4 4 3" xfId="1028"/>
    <cellStyle name="Акцент4 4 3 1" xfId="1029"/>
    <cellStyle name="Акцент4 4 4" xfId="1030"/>
    <cellStyle name="Акцент4 5" xfId="1031"/>
    <cellStyle name="Акцент4 5 1" xfId="1032"/>
    <cellStyle name="Акцент4 5 1 1" xfId="1033"/>
    <cellStyle name="Акцент4 5 2" xfId="1034"/>
    <cellStyle name="Акцент4 5 2 1" xfId="1035"/>
    <cellStyle name="Акцент4 5 3" xfId="1036"/>
    <cellStyle name="Акцент4 5 3 1" xfId="1037"/>
    <cellStyle name="Акцент4 5 4" xfId="1038"/>
    <cellStyle name="Акцент4 6" xfId="1039"/>
    <cellStyle name="Акцент4 6 1" xfId="1040"/>
    <cellStyle name="Акцент4 7" xfId="1041"/>
    <cellStyle name="Акцент4 7 1" xfId="1042"/>
    <cellStyle name="Акцент4 8" xfId="1043"/>
    <cellStyle name="Акцент4 8 1" xfId="1044"/>
    <cellStyle name="Акцент4 9" xfId="1045"/>
    <cellStyle name="Акцент5 1" xfId="1046"/>
    <cellStyle name="Акцент5 1 1" xfId="1047"/>
    <cellStyle name="Акцент5 1 1 1" xfId="1048"/>
    <cellStyle name="Акцент5 1 2" xfId="1049"/>
    <cellStyle name="Акцент5 1 2 1" xfId="1050"/>
    <cellStyle name="Акцент5 1 3" xfId="1051"/>
    <cellStyle name="Акцент5 1 3 1" xfId="1052"/>
    <cellStyle name="Акцент5 1 4" xfId="1053"/>
    <cellStyle name="Акцент5 2" xfId="1054"/>
    <cellStyle name="Акцент5 2 1" xfId="1055"/>
    <cellStyle name="Акцент5 2 1 1" xfId="1056"/>
    <cellStyle name="Акцент5 2 2" xfId="1057"/>
    <cellStyle name="Акцент5 2 2 1" xfId="1058"/>
    <cellStyle name="Акцент5 2 3" xfId="1059"/>
    <cellStyle name="Акцент5 2 3 1" xfId="1060"/>
    <cellStyle name="Акцент5 2 4" xfId="1061"/>
    <cellStyle name="Акцент5 3" xfId="1062"/>
    <cellStyle name="Акцент5 3 1" xfId="1063"/>
    <cellStyle name="Акцент5 3 1 1" xfId="1064"/>
    <cellStyle name="Акцент5 3 2" xfId="1065"/>
    <cellStyle name="Акцент5 3 2 1" xfId="1066"/>
    <cellStyle name="Акцент5 3 3" xfId="1067"/>
    <cellStyle name="Акцент5 3 3 1" xfId="1068"/>
    <cellStyle name="Акцент5 3 4" xfId="1069"/>
    <cellStyle name="Акцент5 4" xfId="1070"/>
    <cellStyle name="Акцент5 4 1" xfId="1071"/>
    <cellStyle name="Акцент5 4 1 1" xfId="1072"/>
    <cellStyle name="Акцент5 4 2" xfId="1073"/>
    <cellStyle name="Акцент5 4 2 1" xfId="1074"/>
    <cellStyle name="Акцент5 4 3" xfId="1075"/>
    <cellStyle name="Акцент5 4 3 1" xfId="1076"/>
    <cellStyle name="Акцент5 4 4" xfId="1077"/>
    <cellStyle name="Акцент5 5" xfId="1078"/>
    <cellStyle name="Акцент5 5 1" xfId="1079"/>
    <cellStyle name="Акцент5 5 1 1" xfId="1080"/>
    <cellStyle name="Акцент5 5 2" xfId="1081"/>
    <cellStyle name="Акцент5 5 3" xfId="1082"/>
    <cellStyle name="Акцент5 5 4" xfId="1083"/>
    <cellStyle name="Акцент5 6" xfId="1084"/>
    <cellStyle name="Акцент5 7" xfId="1085"/>
    <cellStyle name="Акцент5 8" xfId="1086"/>
    <cellStyle name="Акцент5 9" xfId="1087"/>
    <cellStyle name="Акцент6 1" xfId="1088"/>
    <cellStyle name="Акцент6 1 1" xfId="1089"/>
    <cellStyle name="Акцент6 1 2" xfId="1090"/>
    <cellStyle name="Акцент6 1 3" xfId="1091"/>
    <cellStyle name="Акцент6 2" xfId="1092"/>
    <cellStyle name="Акцент6 2 1" xfId="1093"/>
    <cellStyle name="Акцент6 2 2" xfId="1094"/>
    <cellStyle name="Акцент6 2 3" xfId="1095"/>
    <cellStyle name="Акцент6 3" xfId="1096"/>
    <cellStyle name="Акцент6 3 1" xfId="1097"/>
    <cellStyle name="Акцент6 3 2" xfId="1098"/>
    <cellStyle name="Акцент6 3 3" xfId="1099"/>
    <cellStyle name="Акцент6 4" xfId="1100"/>
    <cellStyle name="Акцент6 4 1" xfId="1101"/>
    <cellStyle name="Акцент6 4 2" xfId="1102"/>
    <cellStyle name="Акцент6 4 3" xfId="1103"/>
    <cellStyle name="Акцент6 5" xfId="1104"/>
    <cellStyle name="Акцент6 5 1" xfId="1105"/>
    <cellStyle name="Акцент6 5 2" xfId="1106"/>
    <cellStyle name="Акцент6 5 3" xfId="1107"/>
    <cellStyle name="Акцент6 6" xfId="1108"/>
    <cellStyle name="Акцент6 7" xfId="1109"/>
    <cellStyle name="Акцент6 8" xfId="1110"/>
    <cellStyle name="Ввод  1" xfId="1111"/>
    <cellStyle name="Ввод  1 1" xfId="1112"/>
    <cellStyle name="Ввод  1 2" xfId="1113"/>
    <cellStyle name="Ввод  1 3" xfId="1114"/>
    <cellStyle name="Ввод  2" xfId="1115"/>
    <cellStyle name="Ввод  2 1" xfId="1116"/>
    <cellStyle name="Ввод  2 2" xfId="1117"/>
    <cellStyle name="Ввод  2 3" xfId="1118"/>
    <cellStyle name="Ввод  3" xfId="1119"/>
    <cellStyle name="Ввод  3 1" xfId="1120"/>
    <cellStyle name="Ввод  3 2" xfId="1121"/>
    <cellStyle name="Ввод  3 3" xfId="1122"/>
    <cellStyle name="Ввод  4" xfId="1123"/>
    <cellStyle name="Ввод  4 1" xfId="1124"/>
    <cellStyle name="Ввод  4 2" xfId="1125"/>
    <cellStyle name="Ввод  4 3" xfId="1126"/>
    <cellStyle name="Ввод  5" xfId="1127"/>
    <cellStyle name="Ввод  5 1" xfId="1128"/>
    <cellStyle name="Ввод  5 2" xfId="1129"/>
    <cellStyle name="Ввод  5 3" xfId="1130"/>
    <cellStyle name="Ввод  6" xfId="1131"/>
    <cellStyle name="Ввод  7" xfId="1132"/>
    <cellStyle name="Ввод  8" xfId="1133"/>
    <cellStyle name="Вывод 1" xfId="1134"/>
    <cellStyle name="Вывод 1 1" xfId="1135"/>
    <cellStyle name="Вывод 1 2" xfId="1136"/>
    <cellStyle name="Вывод 1 3" xfId="1137"/>
    <cellStyle name="Вывод 2" xfId="1138"/>
    <cellStyle name="Вывод 2 1" xfId="1139"/>
    <cellStyle name="Вывод 2 2" xfId="1140"/>
    <cellStyle name="Вывод 2 3" xfId="1141"/>
    <cellStyle name="Вывод 3" xfId="1142"/>
    <cellStyle name="Вывод 3 1" xfId="1143"/>
    <cellStyle name="Вывод 3 2" xfId="1144"/>
    <cellStyle name="Вывод 3 3" xfId="1145"/>
    <cellStyle name="Вывод 4" xfId="1146"/>
    <cellStyle name="Вывод 4 1" xfId="1147"/>
    <cellStyle name="Вывод 4 2" xfId="1148"/>
    <cellStyle name="Вывод 4 3" xfId="1149"/>
    <cellStyle name="Вывод 5" xfId="1150"/>
    <cellStyle name="Вывод 5 1" xfId="1151"/>
    <cellStyle name="Вывод 5 2" xfId="1152"/>
    <cellStyle name="Вывод 5 3" xfId="1153"/>
    <cellStyle name="Вывод 6" xfId="1154"/>
    <cellStyle name="Вывод 7" xfId="1155"/>
    <cellStyle name="Вывод 8" xfId="1156"/>
    <cellStyle name="Вычисление 1" xfId="1157"/>
    <cellStyle name="Вычисление 1 1" xfId="1158"/>
    <cellStyle name="Вычисление 1 2" xfId="1159"/>
    <cellStyle name="Вычисление 1 3" xfId="1160"/>
    <cellStyle name="Вычисление 2" xfId="1161"/>
    <cellStyle name="Вычисление 2 1" xfId="1162"/>
    <cellStyle name="Вычисление 2 2" xfId="1163"/>
    <cellStyle name="Вычисление 2 3" xfId="1164"/>
    <cellStyle name="Вычисление 3" xfId="1165"/>
    <cellStyle name="Вычисление 3 1" xfId="1166"/>
    <cellStyle name="Вычисление 3 2" xfId="1167"/>
    <cellStyle name="Вычисление 3 3" xfId="1168"/>
    <cellStyle name="Вычисление 4" xfId="1169"/>
    <cellStyle name="Вычисление 4 1" xfId="1170"/>
    <cellStyle name="Вычисление 4 2" xfId="1171"/>
    <cellStyle name="Вычисление 4 3" xfId="1172"/>
    <cellStyle name="Вычисление 5" xfId="1173"/>
    <cellStyle name="Вычисление 5 1" xfId="1174"/>
    <cellStyle name="Вычисление 5 2" xfId="1175"/>
    <cellStyle name="Вычисление 5 3" xfId="1176"/>
    <cellStyle name="Вычисление 6" xfId="1177"/>
    <cellStyle name="Вычисление 7" xfId="1178"/>
    <cellStyle name="Вычисление 8" xfId="1179"/>
    <cellStyle name="Заголовок 1 1" xfId="1180"/>
    <cellStyle name="Заголовок 1 1 1" xfId="1181"/>
    <cellStyle name="Заголовок 1 1 2" xfId="1182"/>
    <cellStyle name="Заголовок 1 1 3" xfId="1183"/>
    <cellStyle name="Заголовок 1 2" xfId="1184"/>
    <cellStyle name="Заголовок 1 2 1" xfId="1185"/>
    <cellStyle name="Заголовок 1 2 2" xfId="1186"/>
    <cellStyle name="Заголовок 1 2 3" xfId="1187"/>
    <cellStyle name="Заголовок 1 3" xfId="1188"/>
    <cellStyle name="Заголовок 1 3 1" xfId="1189"/>
    <cellStyle name="Заголовок 1 3 2" xfId="1190"/>
    <cellStyle name="Заголовок 1 3 3" xfId="1191"/>
    <cellStyle name="Заголовок 1 4" xfId="1192"/>
    <cellStyle name="Заголовок 1 4 1" xfId="1193"/>
    <cellStyle name="Заголовок 1 4 2" xfId="1194"/>
    <cellStyle name="Заголовок 1 4 3" xfId="1195"/>
    <cellStyle name="Заголовок 1 5" xfId="1196"/>
    <cellStyle name="Заголовок 1 5 1" xfId="1197"/>
    <cellStyle name="Заголовок 1 5 2" xfId="1198"/>
    <cellStyle name="Заголовок 1 5 3" xfId="1199"/>
    <cellStyle name="Заголовок 1 6" xfId="1200"/>
    <cellStyle name="Заголовок 1 7" xfId="1201"/>
    <cellStyle name="Заголовок 1 8" xfId="1202"/>
    <cellStyle name="Заголовок 2 1" xfId="1203"/>
    <cellStyle name="Заголовок 2 1 1" xfId="1204"/>
    <cellStyle name="Заголовок 2 1 2" xfId="1205"/>
    <cellStyle name="Заголовок 2 1 3" xfId="1206"/>
    <cellStyle name="Заголовок 2 2" xfId="1207"/>
    <cellStyle name="Заголовок 2 2 1" xfId="1208"/>
    <cellStyle name="Заголовок 2 2 2" xfId="1209"/>
    <cellStyle name="Заголовок 2 2 3" xfId="1210"/>
    <cellStyle name="Заголовок 2 3" xfId="1211"/>
    <cellStyle name="Заголовок 2 3 1" xfId="1212"/>
    <cellStyle name="Заголовок 2 3 2" xfId="1213"/>
    <cellStyle name="Заголовок 2 3 3" xfId="1214"/>
    <cellStyle name="Заголовок 2 4" xfId="1215"/>
    <cellStyle name="Заголовок 2 4 1" xfId="1216"/>
    <cellStyle name="Заголовок 2 4 2" xfId="1217"/>
    <cellStyle name="Заголовок 2 4 3" xfId="1218"/>
    <cellStyle name="Заголовок 2 5" xfId="1219"/>
    <cellStyle name="Заголовок 2 5 1" xfId="1220"/>
    <cellStyle name="Заголовок 2 5 2" xfId="1221"/>
    <cellStyle name="Заголовок 2 5 3" xfId="1222"/>
    <cellStyle name="Заголовок 2 6" xfId="1223"/>
    <cellStyle name="Заголовок 2 7" xfId="1224"/>
    <cellStyle name="Заголовок 2 8" xfId="1225"/>
    <cellStyle name="Заголовок 3 1" xfId="1226"/>
    <cellStyle name="Заголовок 3 1 1" xfId="1227"/>
    <cellStyle name="Заголовок 3 1 2" xfId="1228"/>
    <cellStyle name="Заголовок 3 1 3" xfId="1229"/>
    <cellStyle name="Заголовок 3 2" xfId="1230"/>
    <cellStyle name="Заголовок 3 2 1" xfId="1231"/>
    <cellStyle name="Заголовок 3 2 2" xfId="1232"/>
    <cellStyle name="Заголовок 3 2 3" xfId="1233"/>
    <cellStyle name="Заголовок 3 3" xfId="1234"/>
    <cellStyle name="Заголовок 3 3 1" xfId="1235"/>
    <cellStyle name="Заголовок 3 3 2" xfId="1236"/>
    <cellStyle name="Заголовок 3 3 3" xfId="1237"/>
    <cellStyle name="Заголовок 3 4" xfId="1238"/>
    <cellStyle name="Заголовок 3 4 1" xfId="1239"/>
    <cellStyle name="Заголовок 3 4 2" xfId="1240"/>
    <cellStyle name="Заголовок 3 4 3" xfId="1241"/>
    <cellStyle name="Заголовок 3 5" xfId="1242"/>
    <cellStyle name="Заголовок 3 5 1" xfId="1243"/>
    <cellStyle name="Заголовок 3 5 2" xfId="1244"/>
    <cellStyle name="Заголовок 3 5 3" xfId="1245"/>
    <cellStyle name="Заголовок 3 6" xfId="1246"/>
    <cellStyle name="Заголовок 3 7" xfId="1247"/>
    <cellStyle name="Заголовок 3 8" xfId="1248"/>
    <cellStyle name="Заголовок 4 1" xfId="1249"/>
    <cellStyle name="Заголовок 4 1 1" xfId="1250"/>
    <cellStyle name="Заголовок 4 1 2" xfId="1251"/>
    <cellStyle name="Заголовок 4 1 3" xfId="1252"/>
    <cellStyle name="Заголовок 4 2" xfId="1253"/>
    <cellStyle name="Заголовок 4 2 1" xfId="1254"/>
    <cellStyle name="Заголовок 4 2 2" xfId="1255"/>
    <cellStyle name="Заголовок 4 2 3" xfId="1256"/>
    <cellStyle name="Заголовок 4 3" xfId="1257"/>
    <cellStyle name="Заголовок 4 3 1" xfId="1258"/>
    <cellStyle name="Заголовок 4 3 2" xfId="1259"/>
    <cellStyle name="Заголовок 4 3 3" xfId="1260"/>
    <cellStyle name="Заголовок 4 4" xfId="1261"/>
    <cellStyle name="Заголовок 4 4 1" xfId="1262"/>
    <cellStyle name="Заголовок 4 4 2" xfId="1263"/>
    <cellStyle name="Заголовок 4 4 3" xfId="1264"/>
    <cellStyle name="Заголовок 4 5" xfId="1265"/>
    <cellStyle name="Заголовок 4 5 1" xfId="1266"/>
    <cellStyle name="Заголовок 4 5 2" xfId="1267"/>
    <cellStyle name="Заголовок 4 5 3" xfId="1268"/>
    <cellStyle name="Заголовок 4 6" xfId="1269"/>
    <cellStyle name="Заголовок 4 7" xfId="1270"/>
    <cellStyle name="Заголовок 4 8" xfId="1271"/>
    <cellStyle name="Итог 1" xfId="1272"/>
    <cellStyle name="Итог 1 1" xfId="1273"/>
    <cellStyle name="Итог 1 2" xfId="1274"/>
    <cellStyle name="Итог 1 3" xfId="1275"/>
    <cellStyle name="Итог 2" xfId="1276"/>
    <cellStyle name="Итог 2 1" xfId="1277"/>
    <cellStyle name="Итог 2 2" xfId="1278"/>
    <cellStyle name="Итог 2 3" xfId="1279"/>
    <cellStyle name="Итог 3" xfId="1280"/>
    <cellStyle name="Итог 3 1" xfId="1281"/>
    <cellStyle name="Итог 3 2" xfId="1282"/>
    <cellStyle name="Итог 3 3" xfId="1283"/>
    <cellStyle name="Итог 4" xfId="1284"/>
    <cellStyle name="Итог 4 1" xfId="1285"/>
    <cellStyle name="Итог 4 2" xfId="1286"/>
    <cellStyle name="Итог 4 3" xfId="1287"/>
    <cellStyle name="Итог 5" xfId="1288"/>
    <cellStyle name="Итог 5 1" xfId="1289"/>
    <cellStyle name="Итог 5 2" xfId="1290"/>
    <cellStyle name="Итог 5 3" xfId="1291"/>
    <cellStyle name="Итог 6" xfId="1292"/>
    <cellStyle name="Итог 7" xfId="1293"/>
    <cellStyle name="Итог 8" xfId="1294"/>
    <cellStyle name="Контрольная ячейка 1" xfId="1295"/>
    <cellStyle name="Контрольная ячейка 1 1" xfId="1296"/>
    <cellStyle name="Контрольная ячейка 1 2" xfId="1297"/>
    <cellStyle name="Контрольная ячейка 1 3" xfId="1298"/>
    <cellStyle name="Контрольная ячейка 2" xfId="1299"/>
    <cellStyle name="Контрольная ячейка 2 1" xfId="1300"/>
    <cellStyle name="Контрольная ячейка 2 2" xfId="1301"/>
    <cellStyle name="Контрольная ячейка 2 3" xfId="1302"/>
    <cellStyle name="Контрольная ячейка 3" xfId="1303"/>
    <cellStyle name="Контрольная ячейка 3 1" xfId="1304"/>
    <cellStyle name="Контрольная ячейка 3 2" xfId="1305"/>
    <cellStyle name="Контрольная ячейка 3 3" xfId="1306"/>
    <cellStyle name="Контрольная ячейка 4" xfId="1307"/>
    <cellStyle name="Контрольная ячейка 4 1" xfId="1308"/>
    <cellStyle name="Контрольная ячейка 4 2" xfId="1309"/>
    <cellStyle name="Контрольная ячейка 4 3" xfId="1310"/>
    <cellStyle name="Контрольная ячейка 5" xfId="1311"/>
    <cellStyle name="Контрольная ячейка 5 1" xfId="1312"/>
    <cellStyle name="Контрольная ячейка 5 2" xfId="1313"/>
    <cellStyle name="Контрольная ячейка 5 3" xfId="1314"/>
    <cellStyle name="Контрольная ячейка 6" xfId="1315"/>
    <cellStyle name="Контрольная ячейка 7" xfId="1316"/>
    <cellStyle name="Контрольная ячейка 8" xfId="1317"/>
    <cellStyle name="Название 1" xfId="1318"/>
    <cellStyle name="Название 1 1" xfId="1319"/>
    <cellStyle name="Название 1 2" xfId="1320"/>
    <cellStyle name="Название 1 3" xfId="1321"/>
    <cellStyle name="Название 2" xfId="1322"/>
    <cellStyle name="Название 2 1" xfId="1323"/>
    <cellStyle name="Название 2 2" xfId="1324"/>
    <cellStyle name="Название 2 3" xfId="1325"/>
    <cellStyle name="Название 3" xfId="1326"/>
    <cellStyle name="Название 3 1" xfId="1327"/>
    <cellStyle name="Название 3 2" xfId="1328"/>
    <cellStyle name="Название 3 3" xfId="1329"/>
    <cellStyle name="Название 4" xfId="1330"/>
    <cellStyle name="Название 4 1" xfId="1331"/>
    <cellStyle name="Название 4 2" xfId="1332"/>
    <cellStyle name="Название 4 3" xfId="1333"/>
    <cellStyle name="Название 5" xfId="1334"/>
    <cellStyle name="Название 5 1" xfId="1335"/>
    <cellStyle name="Название 5 2" xfId="1336"/>
    <cellStyle name="Название 5 3" xfId="1337"/>
    <cellStyle name="Название 6" xfId="1338"/>
    <cellStyle name="Название 7" xfId="1339"/>
    <cellStyle name="Название 8" xfId="1340"/>
    <cellStyle name="Нейтральный 1" xfId="1341"/>
    <cellStyle name="Нейтральный 1 1" xfId="1342"/>
    <cellStyle name="Нейтральный 1 2" xfId="1343"/>
    <cellStyle name="Нейтральный 1 3" xfId="1344"/>
    <cellStyle name="Нейтральный 2" xfId="1345"/>
    <cellStyle name="Нейтральный 2 1" xfId="1346"/>
    <cellStyle name="Нейтральный 2 2" xfId="1347"/>
    <cellStyle name="Нейтральный 2 3" xfId="1348"/>
    <cellStyle name="Нейтральный 3" xfId="1349"/>
    <cellStyle name="Нейтральный 3 1" xfId="1350"/>
    <cellStyle name="Нейтральный 3 2" xfId="1351"/>
    <cellStyle name="Нейтральный 3 3" xfId="1352"/>
    <cellStyle name="Нейтральный 4" xfId="1353"/>
    <cellStyle name="Нейтральный 4 1" xfId="1354"/>
    <cellStyle name="Нейтральный 4 2" xfId="1355"/>
    <cellStyle name="Нейтральный 4 3" xfId="1356"/>
    <cellStyle name="Нейтральный 5" xfId="1357"/>
    <cellStyle name="Нейтральный 5 1" xfId="1358"/>
    <cellStyle name="Нейтральный 5 2" xfId="1359"/>
    <cellStyle name="Нейтральный 5 3" xfId="1360"/>
    <cellStyle name="Нейтральный 6" xfId="1361"/>
    <cellStyle name="Нейтральный 7" xfId="1362"/>
    <cellStyle name="Нейтральный 8" xfId="1363"/>
    <cellStyle name="Обычный" xfId="0" builtinId="0"/>
    <cellStyle name="Обычный 2" xfId="1"/>
    <cellStyle name="Плохой 1" xfId="1364"/>
    <cellStyle name="Плохой 1 1" xfId="1365"/>
    <cellStyle name="Плохой 1 2" xfId="1366"/>
    <cellStyle name="Плохой 1 3" xfId="1367"/>
    <cellStyle name="Плохой 2" xfId="1368"/>
    <cellStyle name="Плохой 2 1" xfId="1369"/>
    <cellStyle name="Плохой 2 2" xfId="1370"/>
    <cellStyle name="Плохой 2 3" xfId="1371"/>
    <cellStyle name="Плохой 3" xfId="1372"/>
    <cellStyle name="Плохой 3 1" xfId="1373"/>
    <cellStyle name="Плохой 3 2" xfId="1374"/>
    <cellStyle name="Плохой 3 3" xfId="1375"/>
    <cellStyle name="Плохой 4" xfId="1376"/>
    <cellStyle name="Плохой 4 1" xfId="1377"/>
    <cellStyle name="Плохой 4 2" xfId="1378"/>
    <cellStyle name="Плохой 4 3" xfId="1379"/>
    <cellStyle name="Плохой 5" xfId="1380"/>
    <cellStyle name="Плохой 5 1" xfId="1381"/>
    <cellStyle name="Плохой 5 2" xfId="1382"/>
    <cellStyle name="Плохой 5 3" xfId="1383"/>
    <cellStyle name="Плохой 6" xfId="1384"/>
    <cellStyle name="Плохой 7" xfId="1385"/>
    <cellStyle name="Плохой 8" xfId="1386"/>
    <cellStyle name="Пояснение 1" xfId="1387"/>
    <cellStyle name="Пояснение 1 1" xfId="1388"/>
    <cellStyle name="Пояснение 1 2" xfId="1389"/>
    <cellStyle name="Пояснение 1 3" xfId="1390"/>
    <cellStyle name="Пояснение 2" xfId="1391"/>
    <cellStyle name="Пояснение 2 1" xfId="1392"/>
    <cellStyle name="Пояснение 2 2" xfId="1393"/>
    <cellStyle name="Пояснение 2 3" xfId="1394"/>
    <cellStyle name="Пояснение 3" xfId="1395"/>
    <cellStyle name="Пояснение 3 1" xfId="1396"/>
    <cellStyle name="Пояснение 3 2" xfId="1397"/>
    <cellStyle name="Пояснение 3 3" xfId="1398"/>
    <cellStyle name="Пояснение 4" xfId="1399"/>
    <cellStyle name="Пояснение 4 1" xfId="1400"/>
    <cellStyle name="Пояснение 4 2" xfId="1401"/>
    <cellStyle name="Пояснение 4 3" xfId="1402"/>
    <cellStyle name="Пояснение 5" xfId="1403"/>
    <cellStyle name="Пояснение 5 1" xfId="1404"/>
    <cellStyle name="Пояснение 5 2" xfId="1405"/>
    <cellStyle name="Пояснение 5 3" xfId="1406"/>
    <cellStyle name="Пояснение 6" xfId="1407"/>
    <cellStyle name="Пояснение 7" xfId="1408"/>
    <cellStyle name="Пояснение 8" xfId="1409"/>
    <cellStyle name="Примечание 1" xfId="1410"/>
    <cellStyle name="Примечание 1 1" xfId="1411"/>
    <cellStyle name="Примечание 1 2" xfId="1412"/>
    <cellStyle name="Примечание 1 3" xfId="1413"/>
    <cellStyle name="Примечание 2" xfId="1414"/>
    <cellStyle name="Примечание 2 1" xfId="1415"/>
    <cellStyle name="Примечание 2 2" xfId="1416"/>
    <cellStyle name="Примечание 2 3" xfId="1417"/>
    <cellStyle name="Примечание 3" xfId="1418"/>
    <cellStyle name="Примечание 3 1" xfId="1419"/>
    <cellStyle name="Примечание 3 2" xfId="1420"/>
    <cellStyle name="Примечание 3 3" xfId="1421"/>
    <cellStyle name="Примечание 4" xfId="1422"/>
    <cellStyle name="Примечание 4 1" xfId="1423"/>
    <cellStyle name="Примечание 4 2" xfId="1424"/>
    <cellStyle name="Примечание 4 3" xfId="1425"/>
    <cellStyle name="Примечание 5" xfId="1426"/>
    <cellStyle name="Примечание 5 1" xfId="1427"/>
    <cellStyle name="Примечание 5 2" xfId="1428"/>
    <cellStyle name="Примечание 5 3" xfId="1429"/>
    <cellStyle name="Примечание 6" xfId="1430"/>
    <cellStyle name="Примечание 7" xfId="1431"/>
    <cellStyle name="Примечание 8" xfId="1432"/>
    <cellStyle name="Связанная ячейка 1" xfId="1433"/>
    <cellStyle name="Связанная ячейка 1 1" xfId="1434"/>
    <cellStyle name="Связанная ячейка 1 2" xfId="1435"/>
    <cellStyle name="Связанная ячейка 1 3" xfId="1436"/>
    <cellStyle name="Связанная ячейка 2" xfId="1437"/>
    <cellStyle name="Связанная ячейка 2 1" xfId="1438"/>
    <cellStyle name="Связанная ячейка 2 2" xfId="1439"/>
    <cellStyle name="Связанная ячейка 2 3" xfId="1440"/>
    <cellStyle name="Связанная ячейка 3" xfId="1441"/>
    <cellStyle name="Связанная ячейка 3 1" xfId="1442"/>
    <cellStyle name="Связанная ячейка 3 2" xfId="1443"/>
    <cellStyle name="Связанная ячейка 3 3" xfId="1444"/>
    <cellStyle name="Связанная ячейка 4" xfId="1445"/>
    <cellStyle name="Связанная ячейка 4 1" xfId="1446"/>
    <cellStyle name="Связанная ячейка 4 2" xfId="1447"/>
    <cellStyle name="Связанная ячейка 4 3" xfId="1448"/>
    <cellStyle name="Связанная ячейка 5" xfId="1449"/>
    <cellStyle name="Связанная ячейка 5 1" xfId="1450"/>
    <cellStyle name="Связанная ячейка 5 2" xfId="1451"/>
    <cellStyle name="Связанная ячейка 5 3" xfId="1452"/>
    <cellStyle name="Связанная ячейка 6" xfId="1453"/>
    <cellStyle name="Связанная ячейка 7" xfId="1454"/>
    <cellStyle name="Связанная ячейка 8" xfId="1455"/>
    <cellStyle name="Текст предупреждения 1" xfId="1456"/>
    <cellStyle name="Текст предупреждения 1 1" xfId="1457"/>
    <cellStyle name="Текст предупреждения 1 2" xfId="1458"/>
    <cellStyle name="Текст предупреждения 1 3" xfId="1459"/>
    <cellStyle name="Текст предупреждения 2" xfId="1460"/>
    <cellStyle name="Текст предупреждения 2 1" xfId="1461"/>
    <cellStyle name="Текст предупреждения 2 2" xfId="1462"/>
    <cellStyle name="Текст предупреждения 2 3" xfId="1463"/>
    <cellStyle name="Текст предупреждения 3" xfId="1464"/>
    <cellStyle name="Текст предупреждения 3 1" xfId="1465"/>
    <cellStyle name="Текст предупреждения 3 2" xfId="1466"/>
    <cellStyle name="Текст предупреждения 3 3" xfId="1467"/>
    <cellStyle name="Текст предупреждения 4" xfId="1468"/>
    <cellStyle name="Текст предупреждения 4 1" xfId="1469"/>
    <cellStyle name="Текст предупреждения 4 2" xfId="1470"/>
    <cellStyle name="Текст предупреждения 4 3" xfId="1471"/>
    <cellStyle name="Текст предупреждения 5" xfId="1472"/>
    <cellStyle name="Текст предупреждения 5 1" xfId="1473"/>
    <cellStyle name="Текст предупреждения 5 2" xfId="1474"/>
    <cellStyle name="Текст предупреждения 5 3" xfId="1475"/>
    <cellStyle name="Текст предупреждения 6" xfId="1476"/>
    <cellStyle name="Текст предупреждения 7" xfId="1477"/>
    <cellStyle name="Текст предупреждения 8" xfId="1478"/>
    <cellStyle name="Хороший 1" xfId="1479"/>
    <cellStyle name="Хороший 1 1" xfId="1480"/>
    <cellStyle name="Хороший 1 2" xfId="1481"/>
    <cellStyle name="Хороший 1 3" xfId="1482"/>
    <cellStyle name="Хороший 2" xfId="1483"/>
    <cellStyle name="Хороший 2 1" xfId="1484"/>
    <cellStyle name="Хороший 2 2" xfId="1485"/>
    <cellStyle name="Хороший 2 3" xfId="1486"/>
    <cellStyle name="Хороший 3" xfId="1487"/>
    <cellStyle name="Хороший 3 1" xfId="1488"/>
    <cellStyle name="Хороший 3 2" xfId="1489"/>
    <cellStyle name="Хороший 3 3" xfId="1490"/>
    <cellStyle name="Хороший 4" xfId="1491"/>
    <cellStyle name="Хороший 4 1" xfId="1492"/>
    <cellStyle name="Хороший 4 2" xfId="1493"/>
    <cellStyle name="Хороший 4 3" xfId="1494"/>
    <cellStyle name="Хороший 5" xfId="1495"/>
    <cellStyle name="Хороший 5 1" xfId="149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J34"/>
  <sheetViews>
    <sheetView zoomScaleNormal="100" workbookViewId="0">
      <selection activeCell="AA12" sqref="AA12"/>
    </sheetView>
  </sheetViews>
  <sheetFormatPr defaultRowHeight="15"/>
  <cols>
    <col min="1" max="1" width="11.140625" customWidth="1"/>
    <col min="2" max="2" width="12" customWidth="1"/>
    <col min="3" max="17" width="5.28515625" customWidth="1"/>
    <col min="18" max="18" width="8.42578125" customWidth="1"/>
    <col min="19" max="34" width="5.28515625" customWidth="1"/>
    <col min="35" max="36" width="8.28515625" customWidth="1"/>
  </cols>
  <sheetData>
    <row r="2" spans="1:36" ht="15.75" thickBot="1"/>
    <row r="3" spans="1:36" ht="30" customHeight="1" thickBot="1">
      <c r="A3" s="33" t="s">
        <v>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5"/>
      <c r="AJ3" s="29" t="s">
        <v>18</v>
      </c>
    </row>
    <row r="4" spans="1:36" ht="42" customHeight="1">
      <c r="A4" s="40" t="s">
        <v>1</v>
      </c>
      <c r="B4" s="41"/>
      <c r="C4" s="15">
        <v>336.12</v>
      </c>
      <c r="D4" s="15">
        <v>337.12</v>
      </c>
      <c r="E4" s="15">
        <v>338</v>
      </c>
      <c r="F4" s="15">
        <v>339</v>
      </c>
      <c r="G4" s="15">
        <v>340</v>
      </c>
      <c r="H4" s="15">
        <v>341</v>
      </c>
      <c r="I4" s="15">
        <v>342</v>
      </c>
      <c r="J4" s="15">
        <v>343</v>
      </c>
      <c r="K4" s="15">
        <v>344</v>
      </c>
      <c r="L4" s="15">
        <v>345</v>
      </c>
      <c r="M4" s="15">
        <v>346</v>
      </c>
      <c r="N4" s="15">
        <v>347</v>
      </c>
      <c r="O4" s="15">
        <v>348</v>
      </c>
      <c r="P4" s="15">
        <v>349</v>
      </c>
      <c r="Q4" s="15">
        <v>350</v>
      </c>
      <c r="R4" s="17" t="s">
        <v>61</v>
      </c>
      <c r="S4" s="15">
        <v>46007</v>
      </c>
      <c r="T4" s="15">
        <v>46008</v>
      </c>
      <c r="U4" s="15">
        <v>46009</v>
      </c>
      <c r="V4" s="15">
        <v>46010</v>
      </c>
      <c r="W4" s="15">
        <v>46011</v>
      </c>
      <c r="X4" s="15">
        <v>46012</v>
      </c>
      <c r="Y4" s="15">
        <v>46013</v>
      </c>
      <c r="Z4" s="15">
        <v>46014</v>
      </c>
      <c r="AA4" s="15">
        <v>46015</v>
      </c>
      <c r="AB4" s="15">
        <v>46016</v>
      </c>
      <c r="AC4" s="15">
        <v>46017</v>
      </c>
      <c r="AD4" s="15">
        <v>46018</v>
      </c>
      <c r="AE4" s="15">
        <v>46019</v>
      </c>
      <c r="AF4" s="15">
        <v>46020</v>
      </c>
      <c r="AG4" s="15">
        <v>46021</v>
      </c>
      <c r="AH4" s="15">
        <v>46022</v>
      </c>
      <c r="AI4" s="18" t="s">
        <v>62</v>
      </c>
      <c r="AJ4" s="30"/>
    </row>
    <row r="5" spans="1:36" ht="30" customHeight="1">
      <c r="A5" s="36" t="s">
        <v>2</v>
      </c>
      <c r="B5" s="37"/>
      <c r="C5" s="2">
        <v>8</v>
      </c>
      <c r="D5" s="2">
        <v>8</v>
      </c>
      <c r="E5" s="2">
        <v>8</v>
      </c>
      <c r="F5" s="2">
        <v>8</v>
      </c>
      <c r="G5" s="2">
        <v>8</v>
      </c>
      <c r="H5" s="2" t="s">
        <v>4</v>
      </c>
      <c r="I5" s="2" t="s">
        <v>4</v>
      </c>
      <c r="J5" s="2">
        <v>8</v>
      </c>
      <c r="K5" s="2">
        <v>8</v>
      </c>
      <c r="L5" s="2">
        <v>8</v>
      </c>
      <c r="M5" s="13">
        <v>8</v>
      </c>
      <c r="N5" s="13">
        <v>8</v>
      </c>
      <c r="O5" s="13" t="s">
        <v>4</v>
      </c>
      <c r="P5" s="13" t="s">
        <v>4</v>
      </c>
      <c r="Q5" s="13">
        <v>8</v>
      </c>
      <c r="R5" s="13">
        <f>SUM(C5:Q5)</f>
        <v>88</v>
      </c>
      <c r="S5" s="13">
        <v>8</v>
      </c>
      <c r="T5" s="13">
        <v>8</v>
      </c>
      <c r="U5" s="13">
        <v>8</v>
      </c>
      <c r="V5" s="13">
        <v>8</v>
      </c>
      <c r="W5" s="13" t="s">
        <v>63</v>
      </c>
      <c r="X5" s="13" t="s">
        <v>63</v>
      </c>
      <c r="Y5" s="13">
        <v>8</v>
      </c>
      <c r="Z5" s="13">
        <v>8</v>
      </c>
      <c r="AA5" s="13">
        <v>8</v>
      </c>
      <c r="AB5" s="13">
        <v>8</v>
      </c>
      <c r="AC5" s="13">
        <v>8</v>
      </c>
      <c r="AD5" s="13" t="s">
        <v>63</v>
      </c>
      <c r="AE5" s="13" t="s">
        <v>63</v>
      </c>
      <c r="AF5" s="13">
        <v>8</v>
      </c>
      <c r="AG5" s="13">
        <v>8</v>
      </c>
      <c r="AH5" s="13" t="s">
        <v>4</v>
      </c>
      <c r="AI5" s="3">
        <f>SUM(S5:AH5)</f>
        <v>88</v>
      </c>
      <c r="AJ5" s="10">
        <f>R5+AI5</f>
        <v>176</v>
      </c>
    </row>
    <row r="6" spans="1:36" ht="30" customHeight="1" thickBot="1">
      <c r="A6" s="38" t="s">
        <v>3</v>
      </c>
      <c r="B6" s="39"/>
      <c r="C6" s="4">
        <v>11</v>
      </c>
      <c r="D6" s="4">
        <v>11</v>
      </c>
      <c r="E6" s="4" t="s">
        <v>4</v>
      </c>
      <c r="F6" s="4" t="s">
        <v>4</v>
      </c>
      <c r="G6" s="4">
        <v>11</v>
      </c>
      <c r="H6" s="4">
        <v>11</v>
      </c>
      <c r="I6" s="4" t="s">
        <v>4</v>
      </c>
      <c r="J6" s="4" t="s">
        <v>4</v>
      </c>
      <c r="K6" s="4">
        <v>11</v>
      </c>
      <c r="L6" s="4">
        <v>11</v>
      </c>
      <c r="M6" s="14" t="s">
        <v>4</v>
      </c>
      <c r="N6" s="14" t="s">
        <v>4</v>
      </c>
      <c r="O6" s="14">
        <v>11</v>
      </c>
      <c r="P6" s="14">
        <v>11</v>
      </c>
      <c r="Q6" s="14" t="s">
        <v>4</v>
      </c>
      <c r="R6" s="13">
        <f>SUM(C6:Q6)</f>
        <v>88</v>
      </c>
      <c r="S6" s="14" t="s">
        <v>4</v>
      </c>
      <c r="T6" s="14">
        <v>11</v>
      </c>
      <c r="U6" s="14">
        <v>11</v>
      </c>
      <c r="V6" s="14" t="s">
        <v>63</v>
      </c>
      <c r="W6" s="14" t="s">
        <v>63</v>
      </c>
      <c r="X6" s="14">
        <v>11</v>
      </c>
      <c r="Y6" s="14">
        <v>11</v>
      </c>
      <c r="Z6" s="14" t="s">
        <v>4</v>
      </c>
      <c r="AA6" s="14" t="s">
        <v>4</v>
      </c>
      <c r="AB6" s="14">
        <v>11</v>
      </c>
      <c r="AC6" s="14">
        <v>11</v>
      </c>
      <c r="AD6" s="14" t="s">
        <v>4</v>
      </c>
      <c r="AE6" s="14" t="s">
        <v>4</v>
      </c>
      <c r="AF6" s="14">
        <v>11</v>
      </c>
      <c r="AG6" s="14">
        <v>11</v>
      </c>
      <c r="AH6" s="14" t="s">
        <v>4</v>
      </c>
      <c r="AI6" s="5">
        <f>SUM(C6:Q6)</f>
        <v>88</v>
      </c>
      <c r="AJ6" s="10">
        <f>R6+AI6</f>
        <v>176</v>
      </c>
    </row>
    <row r="7" spans="1:36" ht="3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30" customHeight="1">
      <c r="A8" s="32" t="s">
        <v>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1" t="s">
        <v>9</v>
      </c>
      <c r="AJ8" s="31" t="s">
        <v>18</v>
      </c>
    </row>
    <row r="9" spans="1:36" ht="45.75" customHeight="1">
      <c r="A9" s="42" t="str">
        <f>A4</f>
        <v>Дата</v>
      </c>
      <c r="B9" s="42"/>
      <c r="C9" s="15">
        <f>C4</f>
        <v>336.12</v>
      </c>
      <c r="D9" s="15">
        <f>D4</f>
        <v>337.12</v>
      </c>
      <c r="E9" s="15">
        <f t="shared" ref="E9:Q9" si="0">E4</f>
        <v>338</v>
      </c>
      <c r="F9" s="15">
        <f t="shared" si="0"/>
        <v>339</v>
      </c>
      <c r="G9" s="15">
        <f t="shared" si="0"/>
        <v>340</v>
      </c>
      <c r="H9" s="15">
        <f t="shared" si="0"/>
        <v>341</v>
      </c>
      <c r="I9" s="15">
        <f t="shared" si="0"/>
        <v>342</v>
      </c>
      <c r="J9" s="15">
        <f t="shared" si="0"/>
        <v>343</v>
      </c>
      <c r="K9" s="15">
        <f t="shared" si="0"/>
        <v>344</v>
      </c>
      <c r="L9" s="15">
        <f t="shared" si="0"/>
        <v>345</v>
      </c>
      <c r="M9" s="15">
        <f t="shared" si="0"/>
        <v>346</v>
      </c>
      <c r="N9" s="15">
        <f t="shared" si="0"/>
        <v>347</v>
      </c>
      <c r="O9" s="15">
        <f t="shared" si="0"/>
        <v>348</v>
      </c>
      <c r="P9" s="15">
        <f t="shared" si="0"/>
        <v>349</v>
      </c>
      <c r="Q9" s="15">
        <f t="shared" si="0"/>
        <v>350</v>
      </c>
      <c r="R9" s="21" t="str">
        <f>R4</f>
        <v>Норма первый период</v>
      </c>
      <c r="S9" s="15">
        <v>46007</v>
      </c>
      <c r="T9" s="15">
        <v>46008</v>
      </c>
      <c r="U9" s="15">
        <v>46009</v>
      </c>
      <c r="V9" s="15">
        <v>46010</v>
      </c>
      <c r="W9" s="15">
        <v>46011</v>
      </c>
      <c r="X9" s="15">
        <v>46012</v>
      </c>
      <c r="Y9" s="15">
        <v>46013</v>
      </c>
      <c r="Z9" s="15">
        <v>46014</v>
      </c>
      <c r="AA9" s="15">
        <v>46015</v>
      </c>
      <c r="AB9" s="15">
        <v>46016</v>
      </c>
      <c r="AC9" s="15">
        <v>46017</v>
      </c>
      <c r="AD9" s="15">
        <v>46018</v>
      </c>
      <c r="AE9" s="15">
        <v>46019</v>
      </c>
      <c r="AF9" s="15">
        <v>46020</v>
      </c>
      <c r="AG9" s="15">
        <v>46021</v>
      </c>
      <c r="AH9" s="15">
        <v>46022</v>
      </c>
      <c r="AI9" s="31"/>
      <c r="AJ9" s="31"/>
    </row>
    <row r="10" spans="1:36" ht="30" customHeight="1">
      <c r="A10" s="31" t="s">
        <v>5</v>
      </c>
      <c r="B10" s="2" t="str">
        <f>A5</f>
        <v>График 5/2</v>
      </c>
      <c r="C10" s="2">
        <v>14</v>
      </c>
      <c r="D10" s="2">
        <v>8</v>
      </c>
      <c r="E10" s="2">
        <v>22</v>
      </c>
      <c r="F10" s="2">
        <v>4</v>
      </c>
      <c r="G10" s="2">
        <v>8</v>
      </c>
      <c r="H10" s="2">
        <v>9</v>
      </c>
      <c r="I10" s="2" t="s">
        <v>4</v>
      </c>
      <c r="J10" s="2" t="s">
        <v>6</v>
      </c>
      <c r="K10" s="2" t="s">
        <v>6</v>
      </c>
      <c r="L10" s="2" t="s">
        <v>6</v>
      </c>
      <c r="M10" s="2" t="s">
        <v>6</v>
      </c>
      <c r="N10" s="2" t="s">
        <v>6</v>
      </c>
      <c r="O10" s="2" t="s">
        <v>6</v>
      </c>
      <c r="P10" s="2" t="s">
        <v>6</v>
      </c>
      <c r="Q10" s="2" t="s">
        <v>6</v>
      </c>
      <c r="R10" s="2">
        <f>SUM(C10:Q10)</f>
        <v>65</v>
      </c>
      <c r="S10" s="2" t="s">
        <v>6</v>
      </c>
      <c r="T10" s="2" t="s">
        <v>6</v>
      </c>
      <c r="U10" s="2" t="s">
        <v>6</v>
      </c>
      <c r="V10" s="2" t="s">
        <v>6</v>
      </c>
      <c r="W10" s="2" t="s">
        <v>6</v>
      </c>
      <c r="X10" s="2" t="s">
        <v>6</v>
      </c>
      <c r="Y10" s="2" t="s">
        <v>6</v>
      </c>
      <c r="Z10" s="2" t="s">
        <v>6</v>
      </c>
      <c r="AA10" s="2" t="s">
        <v>6</v>
      </c>
      <c r="AB10" s="2" t="s">
        <v>6</v>
      </c>
      <c r="AC10" s="2" t="s">
        <v>6</v>
      </c>
      <c r="AD10" s="2" t="s">
        <v>6</v>
      </c>
      <c r="AE10" s="2" t="s">
        <v>6</v>
      </c>
      <c r="AF10" s="2" t="s">
        <v>6</v>
      </c>
      <c r="AG10" s="2" t="s">
        <v>6</v>
      </c>
      <c r="AH10" s="2" t="s">
        <v>6</v>
      </c>
      <c r="AI10" s="2">
        <f t="shared" ref="AI10:AI15" si="1">SUM(S10:AH10)</f>
        <v>0</v>
      </c>
      <c r="AJ10" s="2">
        <f>R10+AI10</f>
        <v>65</v>
      </c>
    </row>
    <row r="11" spans="1:36" ht="30" customHeight="1">
      <c r="A11" s="31"/>
      <c r="B11" s="2" t="s">
        <v>7</v>
      </c>
      <c r="C11" s="6">
        <f>C10-C5</f>
        <v>6</v>
      </c>
      <c r="D11" s="2">
        <f t="shared" ref="D11:G11" si="2">D10-D5</f>
        <v>0</v>
      </c>
      <c r="E11" s="6">
        <f t="shared" si="2"/>
        <v>14</v>
      </c>
      <c r="F11" s="2">
        <f t="shared" si="2"/>
        <v>-4</v>
      </c>
      <c r="G11" s="2">
        <f t="shared" si="2"/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f t="shared" ref="R11:R13" si="3">SUM(C11:Q11)</f>
        <v>16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f t="shared" si="1"/>
        <v>0</v>
      </c>
      <c r="AJ11" s="2">
        <f t="shared" ref="AJ11:AJ15" si="4">R11+AI11</f>
        <v>16</v>
      </c>
    </row>
    <row r="12" spans="1:36" ht="33" customHeight="1">
      <c r="A12" s="31" t="s">
        <v>5</v>
      </c>
      <c r="B12" s="2" t="str">
        <f>A6</f>
        <v>Смена 1</v>
      </c>
      <c r="C12" s="2" t="s">
        <v>6</v>
      </c>
      <c r="D12" s="2" t="s">
        <v>6</v>
      </c>
      <c r="E12" s="2" t="s">
        <v>6</v>
      </c>
      <c r="F12" s="2" t="s">
        <v>6</v>
      </c>
      <c r="G12" s="2" t="s">
        <v>6</v>
      </c>
      <c r="H12" s="2" t="s">
        <v>6</v>
      </c>
      <c r="I12" s="2" t="s">
        <v>6</v>
      </c>
      <c r="J12" s="2" t="s">
        <v>4</v>
      </c>
      <c r="K12" s="2">
        <v>13</v>
      </c>
      <c r="L12" s="2">
        <v>10</v>
      </c>
      <c r="M12" s="2" t="s">
        <v>4</v>
      </c>
      <c r="N12" s="2" t="s">
        <v>4</v>
      </c>
      <c r="O12" s="2">
        <v>11</v>
      </c>
      <c r="P12" s="2">
        <v>11</v>
      </c>
      <c r="Q12" s="2" t="s">
        <v>4</v>
      </c>
      <c r="R12" s="2">
        <f t="shared" si="3"/>
        <v>45</v>
      </c>
      <c r="S12" s="2" t="s">
        <v>4</v>
      </c>
      <c r="T12" s="2">
        <v>13</v>
      </c>
      <c r="U12" s="2">
        <v>15</v>
      </c>
      <c r="V12" s="2" t="s">
        <v>4</v>
      </c>
      <c r="W12" s="2" t="s">
        <v>4</v>
      </c>
      <c r="X12" s="2" t="s">
        <v>68</v>
      </c>
      <c r="Y12" s="2" t="s">
        <v>68</v>
      </c>
      <c r="Z12" s="2">
        <v>14</v>
      </c>
      <c r="AA12" s="2">
        <v>11</v>
      </c>
      <c r="AB12" s="2">
        <v>11</v>
      </c>
      <c r="AC12" s="2">
        <v>11</v>
      </c>
      <c r="AD12" s="2" t="s">
        <v>4</v>
      </c>
      <c r="AE12" s="2" t="s">
        <v>4</v>
      </c>
      <c r="AF12" s="2">
        <v>13</v>
      </c>
      <c r="AG12" s="2">
        <v>13</v>
      </c>
      <c r="AH12" s="2" t="s">
        <v>4</v>
      </c>
      <c r="AI12" s="2">
        <f t="shared" si="1"/>
        <v>101</v>
      </c>
      <c r="AJ12" s="2">
        <f t="shared" si="4"/>
        <v>146</v>
      </c>
    </row>
    <row r="13" spans="1:36" ht="30" customHeight="1">
      <c r="A13" s="31"/>
      <c r="B13" s="2" t="str">
        <f>B11</f>
        <v>Переработка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6">
        <f>K12-K6</f>
        <v>2</v>
      </c>
      <c r="L13" s="2">
        <f>L12-L6</f>
        <v>-1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f t="shared" si="3"/>
        <v>1</v>
      </c>
      <c r="S13" s="2">
        <v>0</v>
      </c>
      <c r="T13" s="2">
        <f t="shared" ref="T13:AG13" si="5">T12-T6</f>
        <v>2</v>
      </c>
      <c r="U13" s="2">
        <f t="shared" si="5"/>
        <v>4</v>
      </c>
      <c r="V13" s="2">
        <v>0</v>
      </c>
      <c r="W13" s="2">
        <v>0</v>
      </c>
      <c r="X13" s="2">
        <v>0</v>
      </c>
      <c r="Y13" s="2">
        <v>0</v>
      </c>
      <c r="Z13" s="2">
        <v>14</v>
      </c>
      <c r="AA13" s="2">
        <v>0</v>
      </c>
      <c r="AB13" s="2">
        <f t="shared" si="5"/>
        <v>0</v>
      </c>
      <c r="AC13" s="2">
        <f t="shared" si="5"/>
        <v>0</v>
      </c>
      <c r="AD13" s="2">
        <v>0</v>
      </c>
      <c r="AE13" s="2">
        <v>0</v>
      </c>
      <c r="AF13" s="2">
        <f t="shared" si="5"/>
        <v>2</v>
      </c>
      <c r="AG13" s="2">
        <f t="shared" si="5"/>
        <v>2</v>
      </c>
      <c r="AH13" s="2">
        <v>0</v>
      </c>
      <c r="AI13" s="2">
        <f t="shared" si="1"/>
        <v>24</v>
      </c>
      <c r="AJ13" s="2">
        <f t="shared" si="4"/>
        <v>25</v>
      </c>
    </row>
    <row r="14" spans="1:36" ht="33" customHeight="1">
      <c r="A14" s="31" t="s">
        <v>44</v>
      </c>
      <c r="B14" s="2" t="s">
        <v>2</v>
      </c>
      <c r="C14" s="2">
        <v>8</v>
      </c>
      <c r="D14" s="2">
        <v>8</v>
      </c>
      <c r="E14" s="2">
        <v>8</v>
      </c>
      <c r="F14" s="2">
        <v>8</v>
      </c>
      <c r="G14" s="2">
        <v>8</v>
      </c>
      <c r="H14" s="2" t="s">
        <v>4</v>
      </c>
      <c r="I14" s="2" t="s">
        <v>4</v>
      </c>
      <c r="J14" s="2">
        <v>8</v>
      </c>
      <c r="K14" s="2">
        <v>8</v>
      </c>
      <c r="L14" s="2">
        <v>8</v>
      </c>
      <c r="M14" s="2">
        <v>8</v>
      </c>
      <c r="N14" s="2">
        <v>8</v>
      </c>
      <c r="O14" s="2" t="s">
        <v>4</v>
      </c>
      <c r="P14" s="2" t="s">
        <v>4</v>
      </c>
      <c r="Q14" s="2">
        <v>10</v>
      </c>
      <c r="R14" s="2">
        <f>SUM(C14:Q14)</f>
        <v>90</v>
      </c>
      <c r="S14" s="2">
        <v>8</v>
      </c>
      <c r="T14" s="2">
        <v>8</v>
      </c>
      <c r="U14" s="2">
        <v>8</v>
      </c>
      <c r="V14" s="2">
        <v>8</v>
      </c>
      <c r="W14" s="2" t="s">
        <v>4</v>
      </c>
      <c r="X14" s="2" t="s">
        <v>4</v>
      </c>
      <c r="Y14" s="2">
        <v>8</v>
      </c>
      <c r="Z14" s="2">
        <v>8</v>
      </c>
      <c r="AA14" s="2">
        <v>8</v>
      </c>
      <c r="AB14" s="2">
        <v>8</v>
      </c>
      <c r="AC14" s="2">
        <v>8</v>
      </c>
      <c r="AD14" s="2" t="s">
        <v>4</v>
      </c>
      <c r="AE14" s="2" t="s">
        <v>4</v>
      </c>
      <c r="AF14" s="2">
        <v>8</v>
      </c>
      <c r="AG14" s="2">
        <v>8</v>
      </c>
      <c r="AH14" s="2" t="s">
        <v>4</v>
      </c>
      <c r="AI14" s="2">
        <f t="shared" si="1"/>
        <v>88</v>
      </c>
      <c r="AJ14" s="2">
        <f t="shared" si="4"/>
        <v>178</v>
      </c>
    </row>
    <row r="15" spans="1:36" ht="30" customHeight="1">
      <c r="A15" s="31"/>
      <c r="B15" s="2" t="str">
        <f>B13</f>
        <v>Переработка</v>
      </c>
      <c r="C15" s="2">
        <f>C14-C5</f>
        <v>0</v>
      </c>
      <c r="D15" s="2">
        <f t="shared" ref="D15:Q15" si="6">D14-D5</f>
        <v>0</v>
      </c>
      <c r="E15" s="2">
        <f t="shared" si="6"/>
        <v>0</v>
      </c>
      <c r="F15" s="2">
        <f t="shared" si="6"/>
        <v>0</v>
      </c>
      <c r="G15" s="2">
        <f t="shared" si="6"/>
        <v>0</v>
      </c>
      <c r="H15" s="2">
        <v>0</v>
      </c>
      <c r="I15" s="2">
        <v>0</v>
      </c>
      <c r="J15" s="2">
        <f t="shared" si="6"/>
        <v>0</v>
      </c>
      <c r="K15" s="2">
        <f t="shared" si="6"/>
        <v>0</v>
      </c>
      <c r="L15" s="2">
        <f t="shared" si="6"/>
        <v>0</v>
      </c>
      <c r="M15" s="2">
        <f t="shared" si="6"/>
        <v>0</v>
      </c>
      <c r="N15" s="2">
        <f t="shared" si="6"/>
        <v>0</v>
      </c>
      <c r="O15" s="2">
        <v>0</v>
      </c>
      <c r="P15" s="2">
        <v>0</v>
      </c>
      <c r="Q15" s="2">
        <f t="shared" si="6"/>
        <v>2</v>
      </c>
      <c r="R15" s="2">
        <f>SUM(C15:Q15)</f>
        <v>2</v>
      </c>
      <c r="S15" s="2">
        <f>S14-S5</f>
        <v>0</v>
      </c>
      <c r="T15" s="2">
        <f t="shared" ref="T15:AG15" si="7">T14-T5</f>
        <v>0</v>
      </c>
      <c r="U15" s="2">
        <f t="shared" si="7"/>
        <v>0</v>
      </c>
      <c r="V15" s="2">
        <f t="shared" si="7"/>
        <v>0</v>
      </c>
      <c r="W15" s="2">
        <v>0</v>
      </c>
      <c r="X15" s="2">
        <v>0</v>
      </c>
      <c r="Y15" s="2">
        <f t="shared" si="7"/>
        <v>0</v>
      </c>
      <c r="Z15" s="2">
        <f t="shared" si="7"/>
        <v>0</v>
      </c>
      <c r="AA15" s="2">
        <f t="shared" si="7"/>
        <v>0</v>
      </c>
      <c r="AB15" s="2">
        <f t="shared" si="7"/>
        <v>0</v>
      </c>
      <c r="AC15" s="2">
        <f t="shared" si="7"/>
        <v>0</v>
      </c>
      <c r="AD15" s="2">
        <v>0</v>
      </c>
      <c r="AE15" s="2">
        <v>0</v>
      </c>
      <c r="AF15" s="2">
        <f t="shared" si="7"/>
        <v>0</v>
      </c>
      <c r="AG15" s="2">
        <f t="shared" si="7"/>
        <v>0</v>
      </c>
      <c r="AH15" s="2">
        <v>0</v>
      </c>
      <c r="AI15" s="2">
        <f t="shared" si="1"/>
        <v>0</v>
      </c>
      <c r="AJ15" s="2">
        <f t="shared" si="4"/>
        <v>2</v>
      </c>
    </row>
    <row r="16" spans="1:36">
      <c r="A16" s="28" t="s">
        <v>10</v>
      </c>
      <c r="B16" s="28"/>
      <c r="C16" s="28"/>
      <c r="D16" s="28"/>
      <c r="E16" s="28"/>
    </row>
    <row r="17" spans="1:5">
      <c r="A17" s="28" t="s">
        <v>11</v>
      </c>
      <c r="B17" s="28"/>
      <c r="C17" s="28"/>
      <c r="D17" s="28"/>
      <c r="E17" s="28"/>
    </row>
    <row r="18" spans="1:5">
      <c r="A18" t="s">
        <v>15</v>
      </c>
    </row>
    <row r="20" spans="1:5">
      <c r="A20" t="s">
        <v>19</v>
      </c>
    </row>
    <row r="21" spans="1:5">
      <c r="A21" s="28" t="s">
        <v>16</v>
      </c>
      <c r="B21" s="28"/>
      <c r="C21" s="8">
        <v>10000</v>
      </c>
    </row>
    <row r="22" spans="1:5">
      <c r="B22" t="s">
        <v>17</v>
      </c>
      <c r="C22" t="s">
        <v>7</v>
      </c>
      <c r="D22" t="s">
        <v>18</v>
      </c>
    </row>
    <row r="23" spans="1:5">
      <c r="A23" t="s">
        <v>12</v>
      </c>
      <c r="B23" s="7">
        <f>C21/AI5*AI5</f>
        <v>10000</v>
      </c>
      <c r="C23">
        <v>0</v>
      </c>
      <c r="D23" s="7">
        <f>B23+C23</f>
        <v>10000</v>
      </c>
    </row>
    <row r="24" spans="1:5">
      <c r="A24" t="s">
        <v>13</v>
      </c>
      <c r="B24" s="7">
        <f>C21/AI5*AI10</f>
        <v>0</v>
      </c>
      <c r="C24">
        <v>0</v>
      </c>
      <c r="D24" s="7">
        <f t="shared" ref="D24:D25" si="8">B24+C24</f>
        <v>0</v>
      </c>
    </row>
    <row r="25" spans="1:5">
      <c r="A25" t="s">
        <v>14</v>
      </c>
      <c r="B25" s="7">
        <f>C21/AI5*(AI10-AI11)</f>
        <v>0</v>
      </c>
      <c r="C25">
        <f>C21/AI5*AI11*1.5</f>
        <v>0</v>
      </c>
      <c r="D25" s="7">
        <f t="shared" si="8"/>
        <v>0</v>
      </c>
    </row>
    <row r="27" spans="1:5">
      <c r="A27" t="s">
        <v>20</v>
      </c>
    </row>
    <row r="28" spans="1:5">
      <c r="A28" s="28" t="s">
        <v>16</v>
      </c>
      <c r="B28" s="28"/>
      <c r="C28" s="8">
        <v>10000</v>
      </c>
    </row>
    <row r="29" spans="1:5">
      <c r="B29" t="s">
        <v>17</v>
      </c>
      <c r="C29" t="s">
        <v>7</v>
      </c>
      <c r="D29" t="s">
        <v>18</v>
      </c>
    </row>
    <row r="30" spans="1:5">
      <c r="A30" t="s">
        <v>12</v>
      </c>
      <c r="B30" s="7">
        <f>C28/AI6*(AI12-AI13)</f>
        <v>8750</v>
      </c>
      <c r="C30">
        <v>0</v>
      </c>
      <c r="D30" s="7">
        <f>B30+C30</f>
        <v>8750</v>
      </c>
    </row>
    <row r="31" spans="1:5">
      <c r="A31" t="s">
        <v>13</v>
      </c>
      <c r="B31" s="7">
        <f>C28/AI6*AI12</f>
        <v>11477.272727272728</v>
      </c>
      <c r="C31">
        <v>0</v>
      </c>
      <c r="D31" s="7">
        <f t="shared" ref="D31:D32" si="9">B31+C31</f>
        <v>11477.272727272728</v>
      </c>
    </row>
    <row r="32" spans="1:5">
      <c r="A32" t="s">
        <v>14</v>
      </c>
      <c r="B32" s="7">
        <f>C28/AI6*(AI12-AI13)</f>
        <v>8750</v>
      </c>
      <c r="C32" s="7">
        <f>C28/AI6*AI13*1.5</f>
        <v>4090.909090909091</v>
      </c>
      <c r="D32" s="7">
        <f t="shared" si="9"/>
        <v>12840.909090909092</v>
      </c>
    </row>
    <row r="34" spans="1:1">
      <c r="A34" t="s">
        <v>21</v>
      </c>
    </row>
  </sheetData>
  <mergeCells count="16">
    <mergeCell ref="A28:B28"/>
    <mergeCell ref="A16:E16"/>
    <mergeCell ref="A17:E17"/>
    <mergeCell ref="A21:B21"/>
    <mergeCell ref="AJ3:AJ4"/>
    <mergeCell ref="AJ8:AJ9"/>
    <mergeCell ref="A14:A15"/>
    <mergeCell ref="A8:AH8"/>
    <mergeCell ref="A3:AI3"/>
    <mergeCell ref="A10:A11"/>
    <mergeCell ref="A12:A13"/>
    <mergeCell ref="A5:B5"/>
    <mergeCell ref="A6:B6"/>
    <mergeCell ref="A4:B4"/>
    <mergeCell ref="A9:B9"/>
    <mergeCell ref="AI8:AI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0"/>
  <sheetViews>
    <sheetView zoomScaleNormal="100" workbookViewId="0">
      <pane xSplit="9" topLeftCell="J1" activePane="topRight" state="frozen"/>
      <selection pane="topRight" activeCell="N4" sqref="N4"/>
    </sheetView>
  </sheetViews>
  <sheetFormatPr defaultRowHeight="15"/>
  <cols>
    <col min="1" max="1" width="4.28515625" customWidth="1"/>
    <col min="2" max="2" width="22.140625" customWidth="1"/>
    <col min="3" max="3" width="15.5703125" customWidth="1"/>
    <col min="4" max="4" width="14.140625" customWidth="1"/>
    <col min="5" max="5" width="11.5703125" customWidth="1"/>
    <col min="6" max="6" width="9.140625" customWidth="1"/>
    <col min="11" max="11" width="9.42578125" customWidth="1"/>
    <col min="12" max="12" width="10.5703125" customWidth="1"/>
    <col min="13" max="13" width="9" customWidth="1"/>
    <col min="15" max="15" width="9.28515625" customWidth="1"/>
  </cols>
  <sheetData>
    <row r="1" spans="1:25" ht="31.5" customHeight="1">
      <c r="A1" s="43" t="s">
        <v>67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25" ht="31.5" customHeight="1">
      <c r="A2" s="46" t="s">
        <v>23</v>
      </c>
      <c r="B2" s="51" t="s">
        <v>22</v>
      </c>
      <c r="C2" s="51" t="s">
        <v>24</v>
      </c>
      <c r="D2" s="51" t="s">
        <v>34</v>
      </c>
      <c r="E2" s="51" t="s">
        <v>33</v>
      </c>
      <c r="F2" s="51" t="s">
        <v>26</v>
      </c>
      <c r="G2" s="43" t="s">
        <v>25</v>
      </c>
      <c r="H2" s="44"/>
      <c r="I2" s="48"/>
      <c r="J2" s="45" t="s">
        <v>39</v>
      </c>
      <c r="K2" s="45" t="s">
        <v>50</v>
      </c>
      <c r="L2" s="45" t="s">
        <v>51</v>
      </c>
      <c r="M2" s="45" t="s">
        <v>40</v>
      </c>
      <c r="N2" s="45" t="s">
        <v>52</v>
      </c>
      <c r="O2" s="45" t="s">
        <v>81</v>
      </c>
      <c r="P2" s="45" t="s">
        <v>7</v>
      </c>
      <c r="Q2" s="45" t="s">
        <v>75</v>
      </c>
      <c r="R2" s="45" t="s">
        <v>48</v>
      </c>
      <c r="S2" s="45" t="s">
        <v>47</v>
      </c>
      <c r="T2" s="49" t="s">
        <v>76</v>
      </c>
      <c r="U2" s="49" t="s">
        <v>77</v>
      </c>
      <c r="V2" s="45" t="s">
        <v>32</v>
      </c>
      <c r="W2" s="45" t="s">
        <v>28</v>
      </c>
      <c r="X2" s="45" t="s">
        <v>27</v>
      </c>
      <c r="Y2" s="45" t="s">
        <v>49</v>
      </c>
    </row>
    <row r="3" spans="1:25" ht="75">
      <c r="A3" s="47"/>
      <c r="B3" s="51"/>
      <c r="C3" s="51"/>
      <c r="D3" s="51"/>
      <c r="E3" s="51"/>
      <c r="F3" s="51"/>
      <c r="G3" s="9" t="s">
        <v>36</v>
      </c>
      <c r="H3" s="9" t="s">
        <v>59</v>
      </c>
      <c r="I3" s="9" t="s">
        <v>60</v>
      </c>
      <c r="J3" s="45"/>
      <c r="K3" s="45"/>
      <c r="L3" s="45"/>
      <c r="M3" s="45"/>
      <c r="N3" s="45"/>
      <c r="O3" s="45"/>
      <c r="P3" s="45"/>
      <c r="Q3" s="45"/>
      <c r="R3" s="45"/>
      <c r="S3" s="45"/>
      <c r="T3" s="50"/>
      <c r="U3" s="50"/>
      <c r="V3" s="45"/>
      <c r="W3" s="45"/>
      <c r="X3" s="45"/>
      <c r="Y3" s="45"/>
    </row>
    <row r="4" spans="1:25" ht="35.25" customHeight="1">
      <c r="A4" s="2">
        <v>1</v>
      </c>
      <c r="B4" s="9" t="s">
        <v>73</v>
      </c>
      <c r="C4" s="9" t="s">
        <v>74</v>
      </c>
      <c r="D4" s="9" t="s">
        <v>80</v>
      </c>
      <c r="E4" s="9">
        <v>203</v>
      </c>
      <c r="F4" s="20" t="s">
        <v>31</v>
      </c>
      <c r="G4" s="2">
        <v>176</v>
      </c>
      <c r="H4" s="2">
        <v>60</v>
      </c>
      <c r="I4" s="2">
        <v>0</v>
      </c>
      <c r="J4" s="12">
        <v>100000</v>
      </c>
      <c r="K4" s="12">
        <v>50000</v>
      </c>
      <c r="L4" s="12">
        <f>J4-K4</f>
        <v>50000</v>
      </c>
      <c r="M4" s="11">
        <v>1</v>
      </c>
      <c r="N4" s="12">
        <f>(K4/176*H4)+(L4*M4/176*H4)</f>
        <v>34090.909090909088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>
        <f t="shared" ref="Y4:Y10" si="0">SUM(N4:X4)</f>
        <v>34090.909090909088</v>
      </c>
    </row>
    <row r="5" spans="1:25" ht="35.25" customHeight="1">
      <c r="A5" s="20">
        <v>1</v>
      </c>
      <c r="B5" s="19" t="s">
        <v>73</v>
      </c>
      <c r="C5" s="19" t="s">
        <v>74</v>
      </c>
      <c r="D5" s="19" t="s">
        <v>80</v>
      </c>
      <c r="E5" s="19">
        <v>203</v>
      </c>
      <c r="F5" s="20" t="s">
        <v>46</v>
      </c>
      <c r="G5" s="20">
        <v>184</v>
      </c>
      <c r="H5" s="20">
        <v>20</v>
      </c>
      <c r="I5" s="20">
        <v>0</v>
      </c>
      <c r="J5" s="12">
        <v>100000</v>
      </c>
      <c r="K5" s="12">
        <v>50000</v>
      </c>
      <c r="L5" s="12">
        <f>J5-K5</f>
        <v>50000</v>
      </c>
      <c r="M5" s="11">
        <v>1</v>
      </c>
      <c r="N5" s="12">
        <f>(K5/176*H5)+(L5*M5/176*H5)</f>
        <v>11363.636363636362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>
        <f t="shared" si="0"/>
        <v>11363.636363636362</v>
      </c>
    </row>
    <row r="6" spans="1:25" ht="33" customHeight="1">
      <c r="A6" s="2">
        <v>3</v>
      </c>
      <c r="B6" s="2" t="s">
        <v>44</v>
      </c>
      <c r="C6" s="2" t="s">
        <v>45</v>
      </c>
      <c r="D6" s="9" t="s">
        <v>35</v>
      </c>
      <c r="E6" s="9">
        <v>205</v>
      </c>
      <c r="F6" s="2" t="s">
        <v>31</v>
      </c>
      <c r="G6" s="2">
        <v>176</v>
      </c>
      <c r="H6" s="2">
        <v>88</v>
      </c>
      <c r="I6" s="2">
        <v>0</v>
      </c>
      <c r="J6" s="12">
        <v>140000</v>
      </c>
      <c r="K6" s="12">
        <v>90000</v>
      </c>
      <c r="L6" s="12">
        <f t="shared" ref="L6:L7" si="1">J6-K6</f>
        <v>50000</v>
      </c>
      <c r="M6" s="11">
        <v>1</v>
      </c>
      <c r="N6" s="12">
        <f t="shared" ref="N6:N9" si="2">(K6/176*H6)+(L6*M6/176*H6)</f>
        <v>70000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>
        <f t="shared" si="0"/>
        <v>70000</v>
      </c>
    </row>
    <row r="7" spans="1:25" ht="31.5" customHeight="1">
      <c r="A7" s="2">
        <v>4</v>
      </c>
      <c r="B7" s="2" t="s">
        <v>57</v>
      </c>
      <c r="C7" s="2" t="s">
        <v>58</v>
      </c>
      <c r="D7" s="9" t="s">
        <v>35</v>
      </c>
      <c r="E7" s="2">
        <v>206</v>
      </c>
      <c r="F7" s="2" t="s">
        <v>78</v>
      </c>
      <c r="G7" s="2">
        <v>184</v>
      </c>
      <c r="H7" s="2">
        <v>96</v>
      </c>
      <c r="I7" s="2">
        <v>0</v>
      </c>
      <c r="J7" s="12">
        <v>30000</v>
      </c>
      <c r="K7" s="12"/>
      <c r="L7" s="12">
        <f t="shared" si="1"/>
        <v>30000</v>
      </c>
      <c r="M7" s="11"/>
      <c r="N7" s="12">
        <f>J7/G7*H7</f>
        <v>15652.173913043478</v>
      </c>
      <c r="O7" s="12"/>
      <c r="P7" s="12"/>
      <c r="Q7" s="12"/>
      <c r="R7" s="12"/>
      <c r="S7" s="12"/>
      <c r="T7" s="12">
        <v>1000</v>
      </c>
      <c r="U7" s="12"/>
      <c r="V7" s="12"/>
      <c r="W7" s="12"/>
      <c r="X7" s="12"/>
      <c r="Y7" s="12">
        <f t="shared" si="0"/>
        <v>16652.17391304348</v>
      </c>
    </row>
    <row r="8" spans="1:25" ht="30" customHeight="1">
      <c r="A8" s="2">
        <v>5</v>
      </c>
      <c r="B8" s="2" t="s">
        <v>5</v>
      </c>
      <c r="C8" s="2" t="s">
        <v>41</v>
      </c>
      <c r="D8" s="9" t="s">
        <v>35</v>
      </c>
      <c r="E8" s="9">
        <v>207</v>
      </c>
      <c r="F8" s="2" t="s">
        <v>46</v>
      </c>
      <c r="G8" s="2">
        <v>176</v>
      </c>
      <c r="H8" s="2">
        <v>88</v>
      </c>
      <c r="I8" s="2">
        <v>15</v>
      </c>
      <c r="J8" s="12">
        <v>90000</v>
      </c>
      <c r="K8" s="12">
        <v>54080</v>
      </c>
      <c r="L8" s="12">
        <f>J8-K8</f>
        <v>35920</v>
      </c>
      <c r="M8" s="11">
        <v>0.9</v>
      </c>
      <c r="N8" s="12">
        <f t="shared" si="2"/>
        <v>43204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>
        <f t="shared" si="0"/>
        <v>43204</v>
      </c>
    </row>
    <row r="9" spans="1:25" ht="30" customHeight="1">
      <c r="A9" s="2">
        <v>6</v>
      </c>
      <c r="B9" s="2" t="s">
        <v>69</v>
      </c>
      <c r="C9" s="2" t="s">
        <v>70</v>
      </c>
      <c r="D9" s="9" t="s">
        <v>35</v>
      </c>
      <c r="E9" s="2">
        <v>208</v>
      </c>
      <c r="F9" s="2" t="s">
        <v>46</v>
      </c>
      <c r="G9" s="2">
        <v>176</v>
      </c>
      <c r="H9" s="2">
        <v>88</v>
      </c>
      <c r="I9" s="2">
        <v>15</v>
      </c>
      <c r="J9" s="12"/>
      <c r="K9" s="12"/>
      <c r="L9" s="12">
        <f>J9-K9</f>
        <v>0</v>
      </c>
      <c r="M9" s="11"/>
      <c r="N9" s="12">
        <f t="shared" si="2"/>
        <v>0</v>
      </c>
      <c r="O9" s="12">
        <v>37833</v>
      </c>
      <c r="P9" s="12"/>
      <c r="Q9" s="12"/>
      <c r="R9" s="12"/>
      <c r="S9" s="12"/>
      <c r="T9" s="12"/>
      <c r="U9" s="12"/>
      <c r="V9" s="12"/>
      <c r="W9" s="12"/>
      <c r="X9" s="12"/>
      <c r="Y9" s="12">
        <f t="shared" si="0"/>
        <v>37833</v>
      </c>
    </row>
    <row r="10" spans="1:25" ht="30" customHeight="1">
      <c r="A10" s="2">
        <v>7</v>
      </c>
      <c r="B10" s="2" t="s">
        <v>71</v>
      </c>
      <c r="C10" s="2" t="s">
        <v>72</v>
      </c>
      <c r="D10" s="9" t="s">
        <v>35</v>
      </c>
      <c r="E10" s="2">
        <v>208</v>
      </c>
      <c r="F10" s="2" t="s">
        <v>46</v>
      </c>
      <c r="G10" s="2">
        <v>176</v>
      </c>
      <c r="H10" s="2">
        <v>98</v>
      </c>
      <c r="I10" s="2">
        <v>10</v>
      </c>
      <c r="J10" s="12">
        <v>65000</v>
      </c>
      <c r="K10" s="12">
        <v>40000</v>
      </c>
      <c r="L10" s="12">
        <f>J10-K10</f>
        <v>25000</v>
      </c>
      <c r="M10" s="11">
        <v>1</v>
      </c>
      <c r="N10" s="12">
        <f>(K10/176*88)+(L10*M10/176*88)</f>
        <v>32500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>
        <f t="shared" si="0"/>
        <v>32500</v>
      </c>
    </row>
  </sheetData>
  <mergeCells count="24">
    <mergeCell ref="E2:E3"/>
    <mergeCell ref="F2:F3"/>
    <mergeCell ref="O2:O3"/>
    <mergeCell ref="J2:J3"/>
    <mergeCell ref="K2:K3"/>
    <mergeCell ref="L2:L3"/>
    <mergeCell ref="M2:M3"/>
    <mergeCell ref="N2:N3"/>
    <mergeCell ref="A1:Y1"/>
    <mergeCell ref="V2:V3"/>
    <mergeCell ref="P2:P3"/>
    <mergeCell ref="A2:A3"/>
    <mergeCell ref="G2:I2"/>
    <mergeCell ref="Y2:Y3"/>
    <mergeCell ref="W2:W3"/>
    <mergeCell ref="X2:X3"/>
    <mergeCell ref="Q2:Q3"/>
    <mergeCell ref="R2:R3"/>
    <mergeCell ref="S2:S3"/>
    <mergeCell ref="T2:T3"/>
    <mergeCell ref="U2:U3"/>
    <mergeCell ref="B2:B3"/>
    <mergeCell ref="C2:C3"/>
    <mergeCell ref="D2:D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0"/>
  <sheetViews>
    <sheetView tabSelected="1" zoomScaleNormal="100" workbookViewId="0">
      <pane xSplit="9" topLeftCell="AC1" activePane="topRight" state="frozen"/>
      <selection pane="topRight" activeCell="AD3" sqref="AD3"/>
    </sheetView>
  </sheetViews>
  <sheetFormatPr defaultRowHeight="15"/>
  <cols>
    <col min="1" max="1" width="4.28515625" customWidth="1"/>
    <col min="2" max="2" width="22.140625" customWidth="1"/>
    <col min="3" max="3" width="15.5703125" customWidth="1"/>
    <col min="4" max="4" width="14.140625" customWidth="1"/>
    <col min="5" max="5" width="11.5703125" customWidth="1"/>
    <col min="6" max="6" width="9.140625" customWidth="1"/>
    <col min="10" max="10" width="0" hidden="1" customWidth="1"/>
    <col min="11" max="11" width="9.42578125" hidden="1" customWidth="1"/>
    <col min="12" max="12" width="10.5703125" hidden="1" customWidth="1"/>
    <col min="13" max="13" width="9" hidden="1" customWidth="1"/>
    <col min="14" max="14" width="0" hidden="1" customWidth="1"/>
    <col min="15" max="15" width="9.28515625" hidden="1" customWidth="1"/>
    <col min="16" max="24" width="0" hidden="1" customWidth="1"/>
  </cols>
  <sheetData>
    <row r="1" spans="1:46" ht="31.5" customHeight="1" thickBot="1">
      <c r="A1" s="43" t="s">
        <v>82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8"/>
    </row>
    <row r="2" spans="1:46" ht="31.5" customHeight="1">
      <c r="A2" s="46" t="s">
        <v>23</v>
      </c>
      <c r="B2" s="51" t="s">
        <v>22</v>
      </c>
      <c r="C2" s="51" t="s">
        <v>24</v>
      </c>
      <c r="D2" s="51" t="s">
        <v>34</v>
      </c>
      <c r="E2" s="51" t="s">
        <v>33</v>
      </c>
      <c r="F2" s="51" t="s">
        <v>26</v>
      </c>
      <c r="G2" s="43" t="s">
        <v>25</v>
      </c>
      <c r="H2" s="44"/>
      <c r="I2" s="48"/>
      <c r="J2" s="49" t="s">
        <v>39</v>
      </c>
      <c r="K2" s="49" t="s">
        <v>50</v>
      </c>
      <c r="L2" s="49" t="s">
        <v>51</v>
      </c>
      <c r="M2" s="49" t="s">
        <v>40</v>
      </c>
      <c r="N2" s="49" t="s">
        <v>52</v>
      </c>
      <c r="O2" s="49" t="s">
        <v>81</v>
      </c>
      <c r="P2" s="49" t="s">
        <v>7</v>
      </c>
      <c r="Q2" s="49" t="s">
        <v>75</v>
      </c>
      <c r="R2" s="49" t="s">
        <v>48</v>
      </c>
      <c r="S2" s="49" t="s">
        <v>47</v>
      </c>
      <c r="T2" s="49" t="s">
        <v>76</v>
      </c>
      <c r="U2" s="49" t="s">
        <v>77</v>
      </c>
      <c r="V2" s="49" t="s">
        <v>32</v>
      </c>
      <c r="W2" s="49" t="s">
        <v>28</v>
      </c>
      <c r="X2" s="49" t="s">
        <v>27</v>
      </c>
      <c r="Y2" s="22" t="s">
        <v>84</v>
      </c>
      <c r="Z2" s="23" t="s">
        <v>85</v>
      </c>
      <c r="AA2" s="22"/>
      <c r="AB2" s="22"/>
      <c r="AC2" s="22"/>
      <c r="AD2" s="25"/>
      <c r="AE2" s="22"/>
      <c r="AG2" s="52" t="s">
        <v>92</v>
      </c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4"/>
    </row>
    <row r="3" spans="1:46" ht="75">
      <c r="A3" s="47"/>
      <c r="B3" s="51"/>
      <c r="C3" s="51"/>
      <c r="D3" s="51"/>
      <c r="E3" s="51"/>
      <c r="F3" s="51"/>
      <c r="G3" s="19" t="s">
        <v>36</v>
      </c>
      <c r="H3" s="19" t="s">
        <v>59</v>
      </c>
      <c r="I3" s="19" t="s">
        <v>60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22" t="s">
        <v>86</v>
      </c>
      <c r="Z3" s="24" t="s">
        <v>87</v>
      </c>
      <c r="AA3" s="22" t="s">
        <v>88</v>
      </c>
      <c r="AB3" s="22" t="s">
        <v>89</v>
      </c>
      <c r="AC3" s="26" t="s">
        <v>30</v>
      </c>
      <c r="AD3" s="27" t="s">
        <v>93</v>
      </c>
      <c r="AE3" s="22"/>
      <c r="AG3" s="55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/>
    </row>
    <row r="4" spans="1:46" ht="35.25" customHeight="1">
      <c r="A4" s="20">
        <v>1</v>
      </c>
      <c r="B4" s="19" t="s">
        <v>73</v>
      </c>
      <c r="C4" s="19" t="s">
        <v>74</v>
      </c>
      <c r="D4" s="19" t="s">
        <v>80</v>
      </c>
      <c r="E4" s="19">
        <v>203</v>
      </c>
      <c r="F4" s="20" t="s">
        <v>31</v>
      </c>
      <c r="G4" s="20">
        <v>176</v>
      </c>
      <c r="H4" s="20">
        <v>60</v>
      </c>
      <c r="I4" s="20">
        <v>0</v>
      </c>
      <c r="J4" s="12">
        <v>100000</v>
      </c>
      <c r="K4" s="12">
        <v>50000</v>
      </c>
      <c r="L4" s="12">
        <f>J4-K4</f>
        <v>50000</v>
      </c>
      <c r="M4" s="11">
        <v>1</v>
      </c>
      <c r="N4" s="12">
        <f>(K4/176*H4)+(L4*M4/176*H4)</f>
        <v>34090.909090909088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 t="s">
        <v>90</v>
      </c>
      <c r="Z4" s="12"/>
      <c r="AA4" s="12" t="s">
        <v>91</v>
      </c>
      <c r="AB4" s="12"/>
      <c r="AC4" s="12"/>
      <c r="AD4" s="12"/>
      <c r="AE4" s="12"/>
      <c r="AG4" s="55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7"/>
    </row>
    <row r="5" spans="1:46" ht="35.25" customHeight="1">
      <c r="A5" s="20">
        <v>1</v>
      </c>
      <c r="B5" s="19" t="s">
        <v>73</v>
      </c>
      <c r="C5" s="19" t="s">
        <v>74</v>
      </c>
      <c r="D5" s="19" t="s">
        <v>80</v>
      </c>
      <c r="E5" s="19">
        <v>203</v>
      </c>
      <c r="F5" s="20" t="s">
        <v>46</v>
      </c>
      <c r="G5" s="20">
        <v>184</v>
      </c>
      <c r="H5" s="20">
        <v>20</v>
      </c>
      <c r="I5" s="20">
        <v>0</v>
      </c>
      <c r="J5" s="12">
        <v>100000</v>
      </c>
      <c r="K5" s="12">
        <v>50000</v>
      </c>
      <c r="L5" s="12">
        <f>J5-K5</f>
        <v>50000</v>
      </c>
      <c r="M5" s="11">
        <v>1</v>
      </c>
      <c r="N5" s="12">
        <f>(K5/176*H5)+(L5*M5/176*H5)</f>
        <v>11363.636363636362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G5" s="55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7"/>
    </row>
    <row r="6" spans="1:46" ht="33" customHeight="1">
      <c r="A6" s="20">
        <v>3</v>
      </c>
      <c r="B6" s="20" t="s">
        <v>44</v>
      </c>
      <c r="C6" s="20" t="s">
        <v>45</v>
      </c>
      <c r="D6" s="19" t="s">
        <v>35</v>
      </c>
      <c r="E6" s="19">
        <v>205</v>
      </c>
      <c r="F6" s="20" t="s">
        <v>31</v>
      </c>
      <c r="G6" s="20">
        <v>176</v>
      </c>
      <c r="H6" s="20">
        <v>88</v>
      </c>
      <c r="I6" s="20">
        <v>0</v>
      </c>
      <c r="J6" s="12">
        <v>140000</v>
      </c>
      <c r="K6" s="12">
        <v>90000</v>
      </c>
      <c r="L6" s="12">
        <f t="shared" ref="L6:L7" si="0">J6-K6</f>
        <v>50000</v>
      </c>
      <c r="M6" s="11">
        <v>1</v>
      </c>
      <c r="N6" s="12">
        <f t="shared" ref="N6:N9" si="1">(K6/176*H6)+(L6*M6/176*H6)</f>
        <v>70000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>
        <v>34091</v>
      </c>
      <c r="Z6" s="12"/>
      <c r="AA6" s="12">
        <v>3520</v>
      </c>
      <c r="AB6" s="12"/>
      <c r="AC6" s="12"/>
      <c r="AD6" s="12">
        <v>30000</v>
      </c>
      <c r="AE6" s="12">
        <v>571</v>
      </c>
      <c r="AG6" s="55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7"/>
    </row>
    <row r="7" spans="1:46" ht="31.5" customHeight="1">
      <c r="A7" s="20">
        <v>4</v>
      </c>
      <c r="B7" s="20" t="s">
        <v>57</v>
      </c>
      <c r="C7" s="20" t="s">
        <v>58</v>
      </c>
      <c r="D7" s="19" t="s">
        <v>35</v>
      </c>
      <c r="E7" s="20">
        <v>206</v>
      </c>
      <c r="F7" s="20" t="s">
        <v>78</v>
      </c>
      <c r="G7" s="20">
        <v>184</v>
      </c>
      <c r="H7" s="20">
        <v>96</v>
      </c>
      <c r="I7" s="20">
        <v>0</v>
      </c>
      <c r="J7" s="12">
        <v>30000</v>
      </c>
      <c r="K7" s="12"/>
      <c r="L7" s="12">
        <f t="shared" si="0"/>
        <v>30000</v>
      </c>
      <c r="M7" s="11"/>
      <c r="N7" s="12">
        <f>J7/G7*H7</f>
        <v>15652.173913043478</v>
      </c>
      <c r="O7" s="12"/>
      <c r="P7" s="12"/>
      <c r="Q7" s="12"/>
      <c r="R7" s="12"/>
      <c r="S7" s="12"/>
      <c r="T7" s="12">
        <v>1000</v>
      </c>
      <c r="U7" s="12"/>
      <c r="V7" s="12"/>
      <c r="W7" s="12"/>
      <c r="X7" s="12"/>
      <c r="Y7" s="12">
        <v>11364</v>
      </c>
      <c r="Z7" s="12"/>
      <c r="AA7" s="12">
        <v>3520</v>
      </c>
      <c r="AB7" s="12"/>
      <c r="AC7" s="12"/>
      <c r="AD7" s="12">
        <v>30000</v>
      </c>
      <c r="AE7" s="12">
        <v>-22156</v>
      </c>
      <c r="AG7" s="55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7"/>
    </row>
    <row r="8" spans="1:46" ht="30" customHeight="1">
      <c r="A8" s="20">
        <v>5</v>
      </c>
      <c r="B8" s="20" t="s">
        <v>5</v>
      </c>
      <c r="C8" s="20" t="s">
        <v>41</v>
      </c>
      <c r="D8" s="19" t="s">
        <v>35</v>
      </c>
      <c r="E8" s="19">
        <v>207</v>
      </c>
      <c r="F8" s="20" t="s">
        <v>46</v>
      </c>
      <c r="G8" s="20">
        <v>176</v>
      </c>
      <c r="H8" s="20">
        <v>88</v>
      </c>
      <c r="I8" s="20">
        <v>15</v>
      </c>
      <c r="J8" s="12">
        <v>90000</v>
      </c>
      <c r="K8" s="12">
        <v>54080</v>
      </c>
      <c r="L8" s="12">
        <f>J8-K8</f>
        <v>35920</v>
      </c>
      <c r="M8" s="11">
        <v>0.9</v>
      </c>
      <c r="N8" s="12">
        <f t="shared" si="1"/>
        <v>43204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>
        <v>70000</v>
      </c>
      <c r="Z8" s="12"/>
      <c r="AA8" s="12">
        <v>3000</v>
      </c>
      <c r="AB8" s="12"/>
      <c r="AC8" s="12"/>
      <c r="AD8" s="12">
        <v>67000</v>
      </c>
      <c r="AE8" s="12">
        <v>0</v>
      </c>
      <c r="AG8" s="55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7"/>
    </row>
    <row r="9" spans="1:46" ht="30" customHeight="1">
      <c r="A9" s="20">
        <v>6</v>
      </c>
      <c r="B9" s="20" t="s">
        <v>69</v>
      </c>
      <c r="C9" s="20" t="s">
        <v>70</v>
      </c>
      <c r="D9" s="19" t="s">
        <v>35</v>
      </c>
      <c r="E9" s="20">
        <v>208</v>
      </c>
      <c r="F9" s="20" t="s">
        <v>46</v>
      </c>
      <c r="G9" s="20">
        <v>176</v>
      </c>
      <c r="H9" s="20">
        <v>88</v>
      </c>
      <c r="I9" s="20">
        <v>15</v>
      </c>
      <c r="J9" s="12"/>
      <c r="K9" s="12"/>
      <c r="L9" s="12">
        <f>J9-K9</f>
        <v>0</v>
      </c>
      <c r="M9" s="11"/>
      <c r="N9" s="12">
        <f t="shared" si="1"/>
        <v>0</v>
      </c>
      <c r="O9" s="12">
        <v>37833</v>
      </c>
      <c r="P9" s="12"/>
      <c r="Q9" s="12"/>
      <c r="R9" s="12"/>
      <c r="S9" s="12"/>
      <c r="T9" s="12"/>
      <c r="U9" s="12"/>
      <c r="V9" s="12"/>
      <c r="W9" s="12"/>
      <c r="X9" s="12"/>
      <c r="Y9" s="12">
        <v>16652</v>
      </c>
      <c r="Z9" s="12"/>
      <c r="AA9" s="12">
        <v>5800</v>
      </c>
      <c r="AB9" s="12"/>
      <c r="AC9" s="12"/>
      <c r="AD9" s="12">
        <v>10852</v>
      </c>
      <c r="AE9" s="12">
        <v>0</v>
      </c>
      <c r="AG9" s="55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7"/>
    </row>
    <row r="10" spans="1:46" ht="30" customHeight="1" thickBot="1">
      <c r="A10" s="20">
        <v>7</v>
      </c>
      <c r="B10" s="20" t="s">
        <v>71</v>
      </c>
      <c r="C10" s="20" t="s">
        <v>72</v>
      </c>
      <c r="D10" s="19" t="s">
        <v>35</v>
      </c>
      <c r="E10" s="20">
        <v>208</v>
      </c>
      <c r="F10" s="20" t="s">
        <v>46</v>
      </c>
      <c r="G10" s="20">
        <v>176</v>
      </c>
      <c r="H10" s="20">
        <v>98</v>
      </c>
      <c r="I10" s="20">
        <v>10</v>
      </c>
      <c r="J10" s="12">
        <v>65000</v>
      </c>
      <c r="K10" s="12">
        <v>40000</v>
      </c>
      <c r="L10" s="12">
        <f>J10-K10</f>
        <v>25000</v>
      </c>
      <c r="M10" s="11">
        <v>1</v>
      </c>
      <c r="N10" s="12">
        <f>(K10/176*88)+(L10*M10/176*88)</f>
        <v>32500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>
        <v>43204</v>
      </c>
      <c r="Z10" s="12"/>
      <c r="AA10" s="12">
        <v>6700</v>
      </c>
      <c r="AB10" s="12"/>
      <c r="AC10" s="12"/>
      <c r="AD10" s="12">
        <v>32000</v>
      </c>
      <c r="AE10" s="12">
        <v>4504</v>
      </c>
      <c r="AG10" s="58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60"/>
    </row>
  </sheetData>
  <mergeCells count="24">
    <mergeCell ref="AG2:AT10"/>
    <mergeCell ref="S2:S3"/>
    <mergeCell ref="T2:T3"/>
    <mergeCell ref="G2:I2"/>
    <mergeCell ref="A2:A3"/>
    <mergeCell ref="B2:B3"/>
    <mergeCell ref="C2:C3"/>
    <mergeCell ref="D2:D3"/>
    <mergeCell ref="E2:E3"/>
    <mergeCell ref="F2:F3"/>
    <mergeCell ref="A1:AE1"/>
    <mergeCell ref="N2:N3"/>
    <mergeCell ref="M2:M3"/>
    <mergeCell ref="L2:L3"/>
    <mergeCell ref="K2:K3"/>
    <mergeCell ref="U2:U3"/>
    <mergeCell ref="V2:V3"/>
    <mergeCell ref="W2:W3"/>
    <mergeCell ref="X2:X3"/>
    <mergeCell ref="J2:J3"/>
    <mergeCell ref="O2:O3"/>
    <mergeCell ref="P2:P3"/>
    <mergeCell ref="Q2:Q3"/>
    <mergeCell ref="R2:R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4"/>
  <sheetViews>
    <sheetView zoomScaleNormal="100" workbookViewId="0">
      <pane xSplit="9" topLeftCell="J1" activePane="topRight" state="frozen"/>
      <selection pane="topRight" activeCell="AS10" sqref="AS10"/>
    </sheetView>
  </sheetViews>
  <sheetFormatPr defaultRowHeight="15"/>
  <cols>
    <col min="1" max="1" width="4.28515625" customWidth="1"/>
    <col min="2" max="2" width="22.140625" customWidth="1"/>
    <col min="3" max="3" width="15.5703125" customWidth="1"/>
    <col min="4" max="4" width="14.140625" customWidth="1"/>
    <col min="5" max="5" width="11.5703125" hidden="1" customWidth="1"/>
    <col min="6" max="10" width="9.140625" hidden="1" customWidth="1"/>
    <col min="11" max="11" width="9.42578125" hidden="1" customWidth="1"/>
    <col min="12" max="12" width="10.5703125" hidden="1" customWidth="1"/>
    <col min="13" max="13" width="9" hidden="1" customWidth="1"/>
    <col min="14" max="14" width="9.140625" hidden="1" customWidth="1"/>
    <col min="15" max="15" width="9.28515625" hidden="1" customWidth="1"/>
    <col min="16" max="30" width="9.140625" hidden="1" customWidth="1"/>
  </cols>
  <sheetData>
    <row r="1" spans="1:31" ht="31.5" customHeight="1">
      <c r="A1" s="43" t="s">
        <v>82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8"/>
    </row>
    <row r="2" spans="1:31" ht="31.5" customHeight="1">
      <c r="A2" s="46" t="s">
        <v>23</v>
      </c>
      <c r="B2" s="51" t="s">
        <v>22</v>
      </c>
      <c r="C2" s="51" t="s">
        <v>24</v>
      </c>
      <c r="D2" s="51" t="s">
        <v>34</v>
      </c>
      <c r="E2" s="51" t="s">
        <v>33</v>
      </c>
      <c r="F2" s="51" t="s">
        <v>26</v>
      </c>
      <c r="G2" s="43" t="s">
        <v>25</v>
      </c>
      <c r="H2" s="44"/>
      <c r="I2" s="48"/>
      <c r="J2" s="49" t="s">
        <v>39</v>
      </c>
      <c r="K2" s="49" t="s">
        <v>50</v>
      </c>
      <c r="L2" s="49" t="s">
        <v>51</v>
      </c>
      <c r="M2" s="49" t="s">
        <v>40</v>
      </c>
      <c r="N2" s="49" t="s">
        <v>52</v>
      </c>
      <c r="O2" s="49" t="s">
        <v>81</v>
      </c>
      <c r="P2" s="49" t="s">
        <v>7</v>
      </c>
      <c r="Q2" s="49" t="s">
        <v>75</v>
      </c>
      <c r="R2" s="49" t="s">
        <v>48</v>
      </c>
      <c r="S2" s="49" t="s">
        <v>47</v>
      </c>
      <c r="T2" s="49" t="s">
        <v>76</v>
      </c>
      <c r="U2" s="49" t="s">
        <v>77</v>
      </c>
      <c r="V2" s="49" t="s">
        <v>32</v>
      </c>
      <c r="W2" s="49" t="s">
        <v>28</v>
      </c>
      <c r="X2" s="49" t="s">
        <v>27</v>
      </c>
      <c r="Y2" s="45" t="s">
        <v>49</v>
      </c>
      <c r="Z2" s="49" t="s">
        <v>53</v>
      </c>
      <c r="AA2" s="45" t="s">
        <v>29</v>
      </c>
      <c r="AB2" s="45" t="s">
        <v>54</v>
      </c>
      <c r="AC2" s="45" t="s">
        <v>55</v>
      </c>
      <c r="AD2" s="61" t="s">
        <v>30</v>
      </c>
      <c r="AE2" s="45" t="s">
        <v>56</v>
      </c>
    </row>
    <row r="3" spans="1:31" ht="75">
      <c r="A3" s="47"/>
      <c r="B3" s="51"/>
      <c r="C3" s="51"/>
      <c r="D3" s="51"/>
      <c r="E3" s="51"/>
      <c r="F3" s="51"/>
      <c r="G3" s="19" t="s">
        <v>36</v>
      </c>
      <c r="H3" s="19" t="s">
        <v>59</v>
      </c>
      <c r="I3" s="19" t="s">
        <v>60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45"/>
      <c r="Z3" s="50"/>
      <c r="AA3" s="45"/>
      <c r="AB3" s="45"/>
      <c r="AC3" s="45"/>
      <c r="AD3" s="61"/>
      <c r="AE3" s="45"/>
    </row>
    <row r="4" spans="1:31" ht="35.25" customHeight="1">
      <c r="A4" s="20">
        <v>1</v>
      </c>
      <c r="B4" s="19" t="s">
        <v>73</v>
      </c>
      <c r="C4" s="19" t="s">
        <v>74</v>
      </c>
      <c r="D4" s="19" t="s">
        <v>80</v>
      </c>
      <c r="E4" s="19">
        <v>203</v>
      </c>
      <c r="F4" s="20" t="s">
        <v>31</v>
      </c>
      <c r="G4" s="20">
        <v>176</v>
      </c>
      <c r="H4" s="20">
        <v>60</v>
      </c>
      <c r="I4" s="20">
        <v>0</v>
      </c>
      <c r="J4" s="12">
        <v>100000</v>
      </c>
      <c r="K4" s="12">
        <v>50000</v>
      </c>
      <c r="L4" s="12">
        <f>J4-K4</f>
        <v>50000</v>
      </c>
      <c r="M4" s="11">
        <v>1</v>
      </c>
      <c r="N4" s="12">
        <f>(K4/176*H4)+(L4*M4/176*H4)</f>
        <v>34090.909090909088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>
        <f t="shared" ref="Y4:Y10" si="0">SUM(N4:X4)</f>
        <v>34090.909090909088</v>
      </c>
      <c r="Z4" s="12"/>
      <c r="AA4" s="12">
        <v>3520</v>
      </c>
      <c r="AB4" s="12"/>
      <c r="AC4" s="12"/>
      <c r="AD4" s="12">
        <v>30000</v>
      </c>
      <c r="AE4" s="12">
        <f>Y4-Z4-AA4-AB4-AC4-AD4</f>
        <v>570.90909090908826</v>
      </c>
    </row>
    <row r="5" spans="1:31" ht="35.25" customHeight="1">
      <c r="A5" s="20">
        <v>1</v>
      </c>
      <c r="B5" s="19" t="s">
        <v>73</v>
      </c>
      <c r="C5" s="19" t="s">
        <v>74</v>
      </c>
      <c r="D5" s="19" t="s">
        <v>80</v>
      </c>
      <c r="E5" s="19">
        <v>203</v>
      </c>
      <c r="F5" s="20" t="s">
        <v>46</v>
      </c>
      <c r="G5" s="20">
        <v>184</v>
      </c>
      <c r="H5" s="20">
        <v>20</v>
      </c>
      <c r="I5" s="20">
        <v>0</v>
      </c>
      <c r="J5" s="12">
        <v>100000</v>
      </c>
      <c r="K5" s="12">
        <v>50000</v>
      </c>
      <c r="L5" s="12">
        <f>J5-K5</f>
        <v>50000</v>
      </c>
      <c r="M5" s="11">
        <v>1</v>
      </c>
      <c r="N5" s="12">
        <f>(K5/176*H5)+(L5*M5/176*H5)</f>
        <v>11363.636363636362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>
        <f t="shared" si="0"/>
        <v>11363.636363636362</v>
      </c>
      <c r="Z5" s="12"/>
      <c r="AA5" s="12">
        <v>3520</v>
      </c>
      <c r="AB5" s="12"/>
      <c r="AC5" s="12"/>
      <c r="AD5" s="12">
        <v>5000</v>
      </c>
      <c r="AE5" s="12">
        <f>Y5-Z5-AA5-AB5-AC5-AD5</f>
        <v>2843.6363636363621</v>
      </c>
    </row>
    <row r="6" spans="1:31" ht="33" customHeight="1">
      <c r="A6" s="20">
        <v>3</v>
      </c>
      <c r="B6" s="20" t="s">
        <v>44</v>
      </c>
      <c r="C6" s="20" t="s">
        <v>45</v>
      </c>
      <c r="D6" s="19" t="s">
        <v>35</v>
      </c>
      <c r="E6" s="19">
        <v>205</v>
      </c>
      <c r="F6" s="20" t="s">
        <v>31</v>
      </c>
      <c r="G6" s="20">
        <v>176</v>
      </c>
      <c r="H6" s="20">
        <v>88</v>
      </c>
      <c r="I6" s="20">
        <v>0</v>
      </c>
      <c r="J6" s="12">
        <v>140000</v>
      </c>
      <c r="K6" s="12">
        <v>90000</v>
      </c>
      <c r="L6" s="12">
        <f t="shared" ref="L6:L7" si="1">J6-K6</f>
        <v>50000</v>
      </c>
      <c r="M6" s="11">
        <v>1</v>
      </c>
      <c r="N6" s="12">
        <f t="shared" ref="N6:N9" si="2">(K6/176*H6)+(L6*M6/176*H6)</f>
        <v>70000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>
        <f t="shared" si="0"/>
        <v>70000</v>
      </c>
      <c r="Z6" s="12"/>
      <c r="AA6" s="12">
        <v>3000</v>
      </c>
      <c r="AB6" s="12"/>
      <c r="AC6" s="12"/>
      <c r="AD6" s="12">
        <v>67000</v>
      </c>
      <c r="AE6" s="12">
        <f t="shared" ref="AE6:AE10" si="3">Y6-Z6-AA6-AB6-AC6-AD6</f>
        <v>0</v>
      </c>
    </row>
    <row r="7" spans="1:31" ht="31.5" customHeight="1">
      <c r="A7" s="20">
        <v>4</v>
      </c>
      <c r="B7" s="20" t="s">
        <v>57</v>
      </c>
      <c r="C7" s="20" t="s">
        <v>58</v>
      </c>
      <c r="D7" s="19" t="s">
        <v>35</v>
      </c>
      <c r="E7" s="20">
        <v>206</v>
      </c>
      <c r="F7" s="20" t="s">
        <v>78</v>
      </c>
      <c r="G7" s="20">
        <v>184</v>
      </c>
      <c r="H7" s="20">
        <v>96</v>
      </c>
      <c r="I7" s="20">
        <v>0</v>
      </c>
      <c r="J7" s="12">
        <v>30000</v>
      </c>
      <c r="K7" s="12"/>
      <c r="L7" s="12">
        <f t="shared" si="1"/>
        <v>30000</v>
      </c>
      <c r="M7" s="11"/>
      <c r="N7" s="12">
        <f>J7/G7*H7</f>
        <v>15652.173913043478</v>
      </c>
      <c r="O7" s="12"/>
      <c r="P7" s="12"/>
      <c r="Q7" s="12"/>
      <c r="R7" s="12"/>
      <c r="S7" s="12"/>
      <c r="T7" s="12">
        <v>1000</v>
      </c>
      <c r="U7" s="12"/>
      <c r="V7" s="12"/>
      <c r="W7" s="12"/>
      <c r="X7" s="12"/>
      <c r="Y7" s="12">
        <f t="shared" si="0"/>
        <v>16652.17391304348</v>
      </c>
      <c r="Z7" s="12"/>
      <c r="AA7" s="12">
        <v>5800</v>
      </c>
      <c r="AB7" s="12"/>
      <c r="AC7" s="12"/>
      <c r="AD7" s="12">
        <v>10852</v>
      </c>
      <c r="AE7" s="12">
        <f t="shared" si="3"/>
        <v>0.1739130434798426</v>
      </c>
    </row>
    <row r="8" spans="1:31" ht="30" customHeight="1">
      <c r="A8" s="20">
        <v>5</v>
      </c>
      <c r="B8" s="20" t="s">
        <v>5</v>
      </c>
      <c r="C8" s="20" t="s">
        <v>41</v>
      </c>
      <c r="D8" s="19" t="s">
        <v>35</v>
      </c>
      <c r="E8" s="19">
        <v>207</v>
      </c>
      <c r="F8" s="20" t="s">
        <v>46</v>
      </c>
      <c r="G8" s="20">
        <v>176</v>
      </c>
      <c r="H8" s="20">
        <v>88</v>
      </c>
      <c r="I8" s="20">
        <v>15</v>
      </c>
      <c r="J8" s="12">
        <v>90000</v>
      </c>
      <c r="K8" s="12">
        <v>54080</v>
      </c>
      <c r="L8" s="12">
        <f>J8-K8</f>
        <v>35920</v>
      </c>
      <c r="M8" s="11">
        <v>0.9</v>
      </c>
      <c r="N8" s="12">
        <f t="shared" si="2"/>
        <v>43204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>
        <f t="shared" si="0"/>
        <v>43204</v>
      </c>
      <c r="Z8" s="12"/>
      <c r="AA8" s="12">
        <v>6700</v>
      </c>
      <c r="AB8" s="12"/>
      <c r="AC8" s="12"/>
      <c r="AD8" s="12">
        <v>32000</v>
      </c>
      <c r="AE8" s="12">
        <f t="shared" si="3"/>
        <v>4504</v>
      </c>
    </row>
    <row r="9" spans="1:31" ht="30" customHeight="1">
      <c r="A9" s="20">
        <v>6</v>
      </c>
      <c r="B9" s="20" t="s">
        <v>69</v>
      </c>
      <c r="C9" s="20" t="s">
        <v>70</v>
      </c>
      <c r="D9" s="19" t="s">
        <v>35</v>
      </c>
      <c r="E9" s="20">
        <v>208</v>
      </c>
      <c r="F9" s="20" t="s">
        <v>46</v>
      </c>
      <c r="G9" s="20">
        <v>176</v>
      </c>
      <c r="H9" s="20">
        <v>88</v>
      </c>
      <c r="I9" s="20">
        <v>15</v>
      </c>
      <c r="J9" s="12"/>
      <c r="K9" s="12"/>
      <c r="L9" s="12">
        <f>J9-K9</f>
        <v>0</v>
      </c>
      <c r="M9" s="11"/>
      <c r="N9" s="12">
        <f t="shared" si="2"/>
        <v>0</v>
      </c>
      <c r="O9" s="12">
        <v>37833</v>
      </c>
      <c r="P9" s="12"/>
      <c r="Q9" s="12"/>
      <c r="R9" s="12"/>
      <c r="S9" s="12"/>
      <c r="T9" s="12"/>
      <c r="U9" s="12"/>
      <c r="V9" s="12"/>
      <c r="W9" s="12"/>
      <c r="X9" s="12"/>
      <c r="Y9" s="12">
        <f t="shared" si="0"/>
        <v>37833</v>
      </c>
      <c r="Z9" s="12">
        <v>2000</v>
      </c>
      <c r="AA9" s="12">
        <v>3900</v>
      </c>
      <c r="AB9" s="12"/>
      <c r="AC9" s="12"/>
      <c r="AD9" s="12">
        <v>27000</v>
      </c>
      <c r="AE9" s="12">
        <f t="shared" si="3"/>
        <v>4933</v>
      </c>
    </row>
    <row r="10" spans="1:31" ht="30" customHeight="1">
      <c r="A10" s="20">
        <v>7</v>
      </c>
      <c r="B10" s="20" t="s">
        <v>71</v>
      </c>
      <c r="C10" s="20" t="s">
        <v>72</v>
      </c>
      <c r="D10" s="19" t="s">
        <v>35</v>
      </c>
      <c r="E10" s="20">
        <v>208</v>
      </c>
      <c r="F10" s="20" t="s">
        <v>46</v>
      </c>
      <c r="G10" s="20">
        <v>176</v>
      </c>
      <c r="H10" s="20">
        <v>98</v>
      </c>
      <c r="I10" s="20">
        <v>10</v>
      </c>
      <c r="J10" s="12">
        <v>65000</v>
      </c>
      <c r="K10" s="12">
        <v>40000</v>
      </c>
      <c r="L10" s="12">
        <f>J10-K10</f>
        <v>25000</v>
      </c>
      <c r="M10" s="11">
        <v>1</v>
      </c>
      <c r="N10" s="12">
        <f>(K10/176*88)+(L10*M10/176*88)</f>
        <v>32500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>
        <f t="shared" si="0"/>
        <v>32500</v>
      </c>
      <c r="Z10" s="12"/>
      <c r="AA10" s="12">
        <v>5200</v>
      </c>
      <c r="AB10" s="12"/>
      <c r="AC10" s="12"/>
      <c r="AD10" s="12">
        <v>5000</v>
      </c>
      <c r="AE10" s="12">
        <f t="shared" si="3"/>
        <v>22300</v>
      </c>
    </row>
    <row r="18" spans="2:49"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</row>
    <row r="19" spans="2:49"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</row>
    <row r="20" spans="2:49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</row>
    <row r="21" spans="2:49"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</row>
    <row r="22" spans="2:49"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</row>
    <row r="23" spans="2:49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</row>
    <row r="24" spans="2:49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</row>
    <row r="25" spans="2:49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</row>
    <row r="26" spans="2:49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</row>
    <row r="27" spans="2:49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</row>
    <row r="28" spans="2:49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</row>
    <row r="29" spans="2:49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</row>
    <row r="30" spans="2:49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</row>
    <row r="31" spans="2:49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</row>
    <row r="32" spans="2:49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</row>
    <row r="33" spans="2:49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</row>
    <row r="34" spans="2:49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</row>
  </sheetData>
  <mergeCells count="31">
    <mergeCell ref="B18:AW34"/>
    <mergeCell ref="A1:AE1"/>
    <mergeCell ref="A2:A3"/>
    <mergeCell ref="B2:B3"/>
    <mergeCell ref="C2:C3"/>
    <mergeCell ref="D2:D3"/>
    <mergeCell ref="E2:E3"/>
    <mergeCell ref="F2:F3"/>
    <mergeCell ref="G2:I2"/>
    <mergeCell ref="J2:J3"/>
    <mergeCell ref="K2:K3"/>
    <mergeCell ref="W2:W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AD2:AD3"/>
    <mergeCell ref="AE2:AE3"/>
    <mergeCell ref="X2:X3"/>
    <mergeCell ref="Y2:Y3"/>
    <mergeCell ref="Z2:Z3"/>
    <mergeCell ref="AA2:AA3"/>
    <mergeCell ref="AB2:AB3"/>
    <mergeCell ref="AC2:AC3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J10"/>
  <sheetViews>
    <sheetView zoomScaleNormal="100" workbookViewId="0">
      <pane xSplit="9" topLeftCell="J1" activePane="topRight" state="frozen"/>
      <selection pane="topRight" activeCell="M9" sqref="M9"/>
    </sheetView>
  </sheetViews>
  <sheetFormatPr defaultRowHeight="15"/>
  <cols>
    <col min="1" max="1" width="4.28515625" customWidth="1"/>
    <col min="2" max="2" width="22.140625" customWidth="1"/>
    <col min="3" max="3" width="15.5703125" customWidth="1"/>
    <col min="4" max="4" width="14.140625" customWidth="1"/>
    <col min="5" max="5" width="11.5703125" customWidth="1"/>
    <col min="6" max="6" width="9.140625" customWidth="1"/>
    <col min="11" max="11" width="9.42578125" customWidth="1"/>
    <col min="12" max="12" width="10.5703125" customWidth="1"/>
    <col min="13" max="13" width="9" customWidth="1"/>
    <col min="16" max="19" width="9.28515625" customWidth="1"/>
  </cols>
  <sheetData>
    <row r="1" spans="1:36" ht="31.5" customHeight="1">
      <c r="A1" s="43" t="s">
        <v>83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8"/>
    </row>
    <row r="2" spans="1:36" ht="31.5" customHeight="1">
      <c r="A2" s="46" t="s">
        <v>23</v>
      </c>
      <c r="B2" s="51" t="s">
        <v>22</v>
      </c>
      <c r="C2" s="51" t="s">
        <v>24</v>
      </c>
      <c r="D2" s="51" t="s">
        <v>34</v>
      </c>
      <c r="E2" s="51" t="s">
        <v>33</v>
      </c>
      <c r="F2" s="51" t="s">
        <v>26</v>
      </c>
      <c r="G2" s="43" t="s">
        <v>25</v>
      </c>
      <c r="H2" s="44"/>
      <c r="I2" s="48"/>
      <c r="J2" s="45" t="s">
        <v>39</v>
      </c>
      <c r="K2" s="45" t="s">
        <v>50</v>
      </c>
      <c r="L2" s="45" t="s">
        <v>51</v>
      </c>
      <c r="M2" s="45" t="s">
        <v>40</v>
      </c>
      <c r="N2" s="45" t="s">
        <v>52</v>
      </c>
      <c r="O2" s="45" t="s">
        <v>37</v>
      </c>
      <c r="P2" s="45" t="s">
        <v>38</v>
      </c>
      <c r="Q2" s="45" t="s">
        <v>64</v>
      </c>
      <c r="R2" s="45" t="s">
        <v>65</v>
      </c>
      <c r="S2" s="45" t="s">
        <v>66</v>
      </c>
      <c r="T2" s="45" t="s">
        <v>7</v>
      </c>
      <c r="U2" s="45" t="s">
        <v>75</v>
      </c>
      <c r="V2" s="45" t="s">
        <v>48</v>
      </c>
      <c r="W2" s="45" t="s">
        <v>47</v>
      </c>
      <c r="X2" s="49" t="s">
        <v>76</v>
      </c>
      <c r="Y2" s="49" t="s">
        <v>77</v>
      </c>
      <c r="Z2" s="45" t="s">
        <v>32</v>
      </c>
      <c r="AA2" s="45" t="s">
        <v>28</v>
      </c>
      <c r="AB2" s="45" t="s">
        <v>27</v>
      </c>
      <c r="AC2" s="45" t="s">
        <v>49</v>
      </c>
      <c r="AD2" s="49" t="s">
        <v>79</v>
      </c>
      <c r="AE2" s="49" t="s">
        <v>53</v>
      </c>
      <c r="AF2" s="45" t="s">
        <v>29</v>
      </c>
      <c r="AG2" s="45" t="s">
        <v>54</v>
      </c>
      <c r="AH2" s="45" t="s">
        <v>55</v>
      </c>
      <c r="AI2" s="61" t="s">
        <v>30</v>
      </c>
      <c r="AJ2" s="45" t="s">
        <v>56</v>
      </c>
    </row>
    <row r="3" spans="1:36" ht="75">
      <c r="A3" s="47"/>
      <c r="B3" s="51"/>
      <c r="C3" s="51"/>
      <c r="D3" s="51"/>
      <c r="E3" s="51"/>
      <c r="F3" s="51"/>
      <c r="G3" s="16" t="s">
        <v>36</v>
      </c>
      <c r="H3" s="16" t="s">
        <v>59</v>
      </c>
      <c r="I3" s="16" t="s">
        <v>60</v>
      </c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50"/>
      <c r="Y3" s="50"/>
      <c r="Z3" s="45"/>
      <c r="AA3" s="45"/>
      <c r="AB3" s="45"/>
      <c r="AC3" s="45"/>
      <c r="AD3" s="50"/>
      <c r="AE3" s="50"/>
      <c r="AF3" s="45"/>
      <c r="AG3" s="45"/>
      <c r="AH3" s="45"/>
      <c r="AI3" s="61"/>
      <c r="AJ3" s="45"/>
    </row>
    <row r="4" spans="1:36" ht="35.25" customHeight="1">
      <c r="A4" s="2">
        <v>1</v>
      </c>
      <c r="B4" s="16" t="s">
        <v>73</v>
      </c>
      <c r="C4" s="16" t="s">
        <v>74</v>
      </c>
      <c r="D4" s="16" t="s">
        <v>35</v>
      </c>
      <c r="E4" s="16">
        <v>203</v>
      </c>
      <c r="F4" s="2" t="s">
        <v>31</v>
      </c>
      <c r="G4" s="2">
        <v>176</v>
      </c>
      <c r="H4" s="2">
        <v>176</v>
      </c>
      <c r="I4" s="2">
        <v>2</v>
      </c>
      <c r="J4" s="12">
        <v>100000</v>
      </c>
      <c r="K4" s="12">
        <v>50000</v>
      </c>
      <c r="L4" s="12">
        <f>J4-K4</f>
        <v>50000</v>
      </c>
      <c r="M4" s="11">
        <v>1</v>
      </c>
      <c r="N4" s="12">
        <f>(K4/176*H4)+(L4*M4/176*H4)</f>
        <v>99999.999999999985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>
        <f t="shared" ref="AC4:AC10" si="0">SUM(N4:AB4)</f>
        <v>99999.999999999985</v>
      </c>
      <c r="AD4" s="12">
        <f>'Расчетная ведомость за первый п'!Y4</f>
        <v>34090.909090909088</v>
      </c>
      <c r="AE4" s="12"/>
      <c r="AF4" s="12">
        <v>5193</v>
      </c>
      <c r="AG4" s="12"/>
      <c r="AH4" s="12"/>
      <c r="AI4" s="12">
        <v>44807</v>
      </c>
      <c r="AJ4" s="12">
        <f>AC4-AD4-AE4-AF4-AG4-AH4-AI4</f>
        <v>15909.090909090897</v>
      </c>
    </row>
    <row r="5" spans="1:36" ht="30" customHeight="1">
      <c r="A5" s="2">
        <v>2</v>
      </c>
      <c r="B5" s="2" t="s">
        <v>42</v>
      </c>
      <c r="C5" s="2" t="s">
        <v>43</v>
      </c>
      <c r="D5" s="16" t="s">
        <v>35</v>
      </c>
      <c r="E5" s="2">
        <v>204</v>
      </c>
      <c r="F5" s="2" t="s">
        <v>31</v>
      </c>
      <c r="G5" s="2">
        <v>176</v>
      </c>
      <c r="H5" s="2">
        <v>180</v>
      </c>
      <c r="I5" s="2">
        <v>4</v>
      </c>
      <c r="J5" s="12"/>
      <c r="K5" s="12"/>
      <c r="L5" s="12"/>
      <c r="M5" s="11">
        <v>1</v>
      </c>
      <c r="N5" s="12">
        <f t="shared" ref="N5:N9" si="1">(K5/176*H5)+(L5*M5/176*H5)</f>
        <v>0</v>
      </c>
      <c r="O5" s="12">
        <v>153000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>
        <f t="shared" si="0"/>
        <v>153000</v>
      </c>
      <c r="AD5" s="12">
        <f>'Расчетная ведомость за первый п'!Y5</f>
        <v>11363.636363636362</v>
      </c>
      <c r="AE5" s="12"/>
      <c r="AF5" s="12">
        <v>3200</v>
      </c>
      <c r="AG5" s="12"/>
      <c r="AH5" s="12"/>
      <c r="AI5" s="12">
        <v>70000</v>
      </c>
      <c r="AJ5" s="12">
        <f t="shared" ref="AJ5:AJ10" si="2">AC5-AD5-AE5-AF5-AG5-AH5-AI5</f>
        <v>68436.363636363647</v>
      </c>
    </row>
    <row r="6" spans="1:36" ht="33" customHeight="1">
      <c r="A6" s="2">
        <v>3</v>
      </c>
      <c r="B6" s="2" t="s">
        <v>44</v>
      </c>
      <c r="C6" s="2" t="s">
        <v>45</v>
      </c>
      <c r="D6" s="16" t="s">
        <v>35</v>
      </c>
      <c r="E6" s="16">
        <v>205</v>
      </c>
      <c r="F6" s="2" t="s">
        <v>31</v>
      </c>
      <c r="G6" s="2">
        <v>176</v>
      </c>
      <c r="H6" s="2">
        <v>176</v>
      </c>
      <c r="I6" s="2">
        <v>0</v>
      </c>
      <c r="J6" s="12"/>
      <c r="K6" s="12"/>
      <c r="L6" s="12"/>
      <c r="M6" s="11">
        <v>1</v>
      </c>
      <c r="N6" s="12">
        <f t="shared" si="1"/>
        <v>0</v>
      </c>
      <c r="O6" s="12"/>
      <c r="P6" s="12">
        <v>140000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>
        <f t="shared" si="0"/>
        <v>140000</v>
      </c>
      <c r="AD6" s="12">
        <f>'Расчетная ведомость за первый п'!Y6</f>
        <v>70000</v>
      </c>
      <c r="AE6" s="12"/>
      <c r="AF6" s="12">
        <v>4900</v>
      </c>
      <c r="AG6" s="12"/>
      <c r="AH6" s="12"/>
      <c r="AI6" s="12">
        <v>6000</v>
      </c>
      <c r="AJ6" s="12">
        <f t="shared" si="2"/>
        <v>59100</v>
      </c>
    </row>
    <row r="7" spans="1:36" ht="31.5" customHeight="1">
      <c r="A7" s="2">
        <v>4</v>
      </c>
      <c r="B7" s="2" t="s">
        <v>57</v>
      </c>
      <c r="C7" s="2" t="s">
        <v>58</v>
      </c>
      <c r="D7" s="16" t="s">
        <v>35</v>
      </c>
      <c r="E7" s="2">
        <v>206</v>
      </c>
      <c r="F7" s="2" t="s">
        <v>78</v>
      </c>
      <c r="G7" s="2">
        <v>184</v>
      </c>
      <c r="H7" s="2">
        <v>184</v>
      </c>
      <c r="I7" s="2">
        <v>0</v>
      </c>
      <c r="J7" s="12">
        <v>30000</v>
      </c>
      <c r="K7" s="12"/>
      <c r="L7" s="12"/>
      <c r="M7" s="11"/>
      <c r="N7" s="12">
        <f>J7/G7*H7</f>
        <v>30000</v>
      </c>
      <c r="O7" s="12"/>
      <c r="P7" s="12"/>
      <c r="Q7" s="12"/>
      <c r="R7" s="12"/>
      <c r="S7" s="12"/>
      <c r="T7" s="12"/>
      <c r="U7" s="12"/>
      <c r="V7" s="12"/>
      <c r="W7" s="12"/>
      <c r="X7" s="12">
        <v>2000</v>
      </c>
      <c r="Y7" s="12"/>
      <c r="Z7" s="12"/>
      <c r="AA7" s="12"/>
      <c r="AB7" s="12"/>
      <c r="AC7" s="12">
        <f t="shared" si="0"/>
        <v>32000</v>
      </c>
      <c r="AD7" s="12">
        <f>'Расчетная ведомость за первый п'!Y7</f>
        <v>16652.17391304348</v>
      </c>
      <c r="AE7" s="12"/>
      <c r="AF7" s="12">
        <v>6800</v>
      </c>
      <c r="AG7" s="12"/>
      <c r="AH7" s="12"/>
      <c r="AI7" s="12">
        <v>8548</v>
      </c>
      <c r="AJ7" s="12">
        <f t="shared" si="2"/>
        <v>-0.1739130434798426</v>
      </c>
    </row>
    <row r="8" spans="1:36" ht="30" customHeight="1">
      <c r="A8" s="2">
        <v>5</v>
      </c>
      <c r="B8" s="2" t="s">
        <v>5</v>
      </c>
      <c r="C8" s="2" t="s">
        <v>41</v>
      </c>
      <c r="D8" s="16" t="s">
        <v>35</v>
      </c>
      <c r="E8" s="16">
        <v>207</v>
      </c>
      <c r="F8" s="2" t="s">
        <v>46</v>
      </c>
      <c r="G8" s="2">
        <v>176</v>
      </c>
      <c r="H8" s="2">
        <v>180</v>
      </c>
      <c r="I8" s="2">
        <v>4</v>
      </c>
      <c r="J8" s="12">
        <v>90000</v>
      </c>
      <c r="K8" s="12">
        <v>54080</v>
      </c>
      <c r="L8" s="12">
        <f>J8-K8</f>
        <v>35920</v>
      </c>
      <c r="M8" s="11">
        <v>0.9</v>
      </c>
      <c r="N8" s="12">
        <f t="shared" si="1"/>
        <v>88371.818181818177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>
        <v>450</v>
      </c>
      <c r="Z8" s="12"/>
      <c r="AA8" s="12"/>
      <c r="AB8" s="12"/>
      <c r="AC8" s="12">
        <f t="shared" si="0"/>
        <v>88821.818181818177</v>
      </c>
      <c r="AD8" s="12">
        <f>'Расчетная ведомость за первый п'!Y8</f>
        <v>43204</v>
      </c>
      <c r="AE8" s="12"/>
      <c r="AF8" s="12">
        <v>2700</v>
      </c>
      <c r="AG8" s="12"/>
      <c r="AH8" s="12"/>
      <c r="AI8" s="12">
        <v>42000</v>
      </c>
      <c r="AJ8" s="12">
        <f t="shared" si="2"/>
        <v>917.81818181817653</v>
      </c>
    </row>
    <row r="9" spans="1:36" ht="30" customHeight="1">
      <c r="A9" s="2">
        <v>6</v>
      </c>
      <c r="B9" s="2" t="s">
        <v>69</v>
      </c>
      <c r="C9" s="2" t="s">
        <v>70</v>
      </c>
      <c r="D9" s="16" t="s">
        <v>35</v>
      </c>
      <c r="E9" s="2">
        <v>208</v>
      </c>
      <c r="F9" s="2" t="s">
        <v>46</v>
      </c>
      <c r="G9" s="2">
        <v>176</v>
      </c>
      <c r="H9" s="2">
        <v>150</v>
      </c>
      <c r="I9" s="2">
        <v>15</v>
      </c>
      <c r="J9" s="12"/>
      <c r="K9" s="12"/>
      <c r="L9" s="12">
        <f>J9-K9</f>
        <v>0</v>
      </c>
      <c r="M9" s="11"/>
      <c r="N9" s="12">
        <f t="shared" si="1"/>
        <v>0</v>
      </c>
      <c r="O9" s="12"/>
      <c r="P9" s="12"/>
      <c r="Q9" s="12">
        <f>'Расчетная ведомость за первый п'!O9+39540</f>
        <v>77373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>
        <f t="shared" si="0"/>
        <v>77373</v>
      </c>
      <c r="AD9" s="12">
        <f>'Расчетная ведомость за первый п'!Y9</f>
        <v>37833</v>
      </c>
      <c r="AE9" s="12">
        <v>5000</v>
      </c>
      <c r="AF9" s="12">
        <v>3100</v>
      </c>
      <c r="AG9" s="12"/>
      <c r="AH9" s="12"/>
      <c r="AI9" s="12">
        <v>3000</v>
      </c>
      <c r="AJ9" s="12">
        <f t="shared" si="2"/>
        <v>28440</v>
      </c>
    </row>
    <row r="10" spans="1:36" ht="30" customHeight="1">
      <c r="A10" s="2">
        <v>7</v>
      </c>
      <c r="B10" s="2" t="s">
        <v>71</v>
      </c>
      <c r="C10" s="2" t="s">
        <v>72</v>
      </c>
      <c r="D10" s="16" t="s">
        <v>35</v>
      </c>
      <c r="E10" s="2">
        <v>208</v>
      </c>
      <c r="F10" s="2" t="s">
        <v>46</v>
      </c>
      <c r="G10" s="2">
        <v>176</v>
      </c>
      <c r="H10" s="2">
        <v>160</v>
      </c>
      <c r="I10" s="2">
        <v>14</v>
      </c>
      <c r="J10" s="12">
        <v>65000</v>
      </c>
      <c r="K10" s="12">
        <v>40000</v>
      </c>
      <c r="L10" s="12">
        <f>J10-K10</f>
        <v>25000</v>
      </c>
      <c r="M10" s="11">
        <v>1</v>
      </c>
      <c r="N10" s="12">
        <f>(K10/176*H10)+(L10*M10/176*H10)</f>
        <v>59090.909090909088</v>
      </c>
      <c r="O10" s="12"/>
      <c r="P10" s="12"/>
      <c r="Q10" s="12"/>
      <c r="R10" s="12"/>
      <c r="S10" s="12"/>
      <c r="T10" s="12">
        <f>J10/G10*I10*1.5</f>
        <v>7755.681818181818</v>
      </c>
      <c r="U10" s="12"/>
      <c r="V10" s="12"/>
      <c r="W10" s="12"/>
      <c r="X10" s="12"/>
      <c r="Y10" s="12"/>
      <c r="Z10" s="12"/>
      <c r="AA10" s="12"/>
      <c r="AB10" s="12"/>
      <c r="AC10" s="12">
        <f t="shared" si="0"/>
        <v>66846.590909090912</v>
      </c>
      <c r="AD10" s="12">
        <f>'Расчетная ведомость за первый п'!Y10</f>
        <v>32500</v>
      </c>
      <c r="AE10" s="12"/>
      <c r="AF10" s="12">
        <v>4000</v>
      </c>
      <c r="AG10" s="12">
        <v>2000</v>
      </c>
      <c r="AH10" s="12"/>
      <c r="AI10" s="12">
        <v>28000</v>
      </c>
      <c r="AJ10" s="12">
        <f t="shared" si="2"/>
        <v>346.59090909091174</v>
      </c>
    </row>
  </sheetData>
  <mergeCells count="35">
    <mergeCell ref="AI2:AI3"/>
    <mergeCell ref="AJ2:AJ3"/>
    <mergeCell ref="AA2:AA3"/>
    <mergeCell ref="AB2:AB3"/>
    <mergeCell ref="AC2:AC3"/>
    <mergeCell ref="AE2:AE3"/>
    <mergeCell ref="AF2:AF3"/>
    <mergeCell ref="AG2:AG3"/>
    <mergeCell ref="AD2:AD3"/>
    <mergeCell ref="V2:V3"/>
    <mergeCell ref="W2:W3"/>
    <mergeCell ref="X2:X3"/>
    <mergeCell ref="Y2:Y3"/>
    <mergeCell ref="AH2:AH3"/>
    <mergeCell ref="Q2:Q3"/>
    <mergeCell ref="R2:R3"/>
    <mergeCell ref="S2:S3"/>
    <mergeCell ref="T2:T3"/>
    <mergeCell ref="U2:U3"/>
    <mergeCell ref="A1:AJ1"/>
    <mergeCell ref="N2:N3"/>
    <mergeCell ref="A2:A3"/>
    <mergeCell ref="B2:B3"/>
    <mergeCell ref="C2:C3"/>
    <mergeCell ref="D2:D3"/>
    <mergeCell ref="E2:E3"/>
    <mergeCell ref="F2:F3"/>
    <mergeCell ref="G2:I2"/>
    <mergeCell ref="J2:J3"/>
    <mergeCell ref="K2:K3"/>
    <mergeCell ref="L2:L3"/>
    <mergeCell ref="M2:M3"/>
    <mergeCell ref="Z2:Z3"/>
    <mergeCell ref="O2:O3"/>
    <mergeCell ref="P2:P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Табель</vt:lpstr>
      <vt:lpstr>Расчетная ведомость за первый п</vt:lpstr>
      <vt:lpstr>Ведомость к перечисления</vt:lpstr>
      <vt:lpstr>Ведомость к выдаче</vt:lpstr>
      <vt:lpstr>Расчетная ведость за месяц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2026-01-20T08:24:23Z</dcterms:modified>
</cp:coreProperties>
</file>